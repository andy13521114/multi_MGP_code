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工作表1" sheetId="1" r:id="rId1"/>
    <sheet name="工作表2" sheetId="2" r:id="rId2"/>
    <sheet name="工作表3" sheetId="3" r:id="rId3"/>
  </sheets>
  <calcPr calcId="152511"/>
</workbook>
</file>

<file path=xl/calcChain.xml><?xml version="1.0" encoding="utf-8"?>
<calcChain xmlns="http://schemas.openxmlformats.org/spreadsheetml/2006/main">
  <c r="P278" i="1" l="1"/>
  <c r="N278" i="1"/>
  <c r="L278" i="1"/>
  <c r="M278" i="1" s="1"/>
  <c r="K278" i="1"/>
  <c r="P226" i="1"/>
  <c r="O226" i="1"/>
  <c r="N226" i="1"/>
  <c r="L226" i="1"/>
  <c r="M226" i="1" s="1"/>
  <c r="K226" i="1"/>
  <c r="P200" i="1"/>
  <c r="N200" i="1"/>
  <c r="L200" i="1"/>
  <c r="M200" i="1" s="1"/>
  <c r="K200" i="1"/>
  <c r="P150" i="1"/>
  <c r="N150" i="1"/>
  <c r="L150" i="1"/>
  <c r="M150" i="1" s="1"/>
  <c r="K150" i="1"/>
  <c r="P112" i="1"/>
  <c r="N112" i="1"/>
  <c r="P102" i="1"/>
  <c r="O102" i="1"/>
  <c r="N102" i="1"/>
  <c r="L102" i="1"/>
  <c r="M102" i="1" s="1"/>
  <c r="K102" i="1"/>
  <c r="P68" i="1"/>
  <c r="N68" i="1"/>
  <c r="L68" i="1"/>
  <c r="M68" i="1" s="1"/>
  <c r="K68" i="1"/>
  <c r="P42" i="1"/>
  <c r="N42" i="1"/>
  <c r="L42" i="1"/>
  <c r="M42" i="1" s="1"/>
  <c r="K42" i="1"/>
  <c r="N2" i="1"/>
  <c r="N75" i="1"/>
  <c r="N174" i="1"/>
  <c r="N239" i="1"/>
  <c r="J91" i="1"/>
  <c r="S91" i="1" s="1"/>
  <c r="J143" i="1"/>
  <c r="S143" i="1" s="1"/>
  <c r="J174" i="1"/>
  <c r="S174" i="1" s="1"/>
  <c r="J278" i="1"/>
  <c r="S278" i="1" s="1"/>
  <c r="G257" i="1"/>
  <c r="G258" i="1"/>
  <c r="G259" i="1"/>
  <c r="N259" i="1" s="1"/>
  <c r="G260" i="1"/>
  <c r="N260" i="1" s="1"/>
  <c r="G261" i="1"/>
  <c r="N261" i="1" s="1"/>
  <c r="G262" i="1"/>
  <c r="N262" i="1" s="1"/>
  <c r="G263" i="1"/>
  <c r="N263" i="1" s="1"/>
  <c r="G264" i="1"/>
  <c r="N264" i="1" s="1"/>
  <c r="G265" i="1"/>
  <c r="G266" i="1"/>
  <c r="G267" i="1"/>
  <c r="N267" i="1" s="1"/>
  <c r="G268" i="1"/>
  <c r="N268" i="1" s="1"/>
  <c r="G269" i="1"/>
  <c r="N269" i="1" s="1"/>
  <c r="G270" i="1"/>
  <c r="N270" i="1" s="1"/>
  <c r="G271" i="1"/>
  <c r="N271" i="1" s="1"/>
  <c r="G272" i="1"/>
  <c r="N272" i="1" s="1"/>
  <c r="G273" i="1"/>
  <c r="G274" i="1"/>
  <c r="G275" i="1"/>
  <c r="N275" i="1" s="1"/>
  <c r="G276" i="1"/>
  <c r="N276" i="1" s="1"/>
  <c r="G277" i="1"/>
  <c r="N277" i="1" s="1"/>
  <c r="G228" i="1"/>
  <c r="N228" i="1" s="1"/>
  <c r="G229" i="1"/>
  <c r="N229" i="1" s="1"/>
  <c r="G230" i="1"/>
  <c r="N230" i="1" s="1"/>
  <c r="G231" i="1"/>
  <c r="N231" i="1" s="1"/>
  <c r="G232" i="1"/>
  <c r="N232" i="1" s="1"/>
  <c r="G233" i="1"/>
  <c r="N233" i="1" s="1"/>
  <c r="G234" i="1"/>
  <c r="N234" i="1" s="1"/>
  <c r="G235" i="1"/>
  <c r="N235" i="1" s="1"/>
  <c r="G236" i="1"/>
  <c r="N236" i="1" s="1"/>
  <c r="G237" i="1"/>
  <c r="N237" i="1" s="1"/>
  <c r="G238" i="1"/>
  <c r="N238" i="1" s="1"/>
  <c r="G239" i="1"/>
  <c r="G240" i="1"/>
  <c r="N240" i="1" s="1"/>
  <c r="G241" i="1"/>
  <c r="N241" i="1" s="1"/>
  <c r="G242" i="1"/>
  <c r="N242" i="1" s="1"/>
  <c r="G243" i="1"/>
  <c r="N243" i="1" s="1"/>
  <c r="G244" i="1"/>
  <c r="N244" i="1" s="1"/>
  <c r="G245" i="1"/>
  <c r="N245" i="1" s="1"/>
  <c r="G246" i="1"/>
  <c r="N246" i="1" s="1"/>
  <c r="G247" i="1"/>
  <c r="N247" i="1" s="1"/>
  <c r="G248" i="1"/>
  <c r="N248" i="1" s="1"/>
  <c r="G249" i="1"/>
  <c r="N249" i="1" s="1"/>
  <c r="G250" i="1"/>
  <c r="N250" i="1" s="1"/>
  <c r="G251" i="1"/>
  <c r="N251" i="1" s="1"/>
  <c r="G252" i="1"/>
  <c r="N252" i="1" s="1"/>
  <c r="G253" i="1"/>
  <c r="G254" i="1"/>
  <c r="N254" i="1" s="1"/>
  <c r="G255" i="1"/>
  <c r="N255" i="1" s="1"/>
  <c r="G256" i="1"/>
  <c r="N256" i="1" s="1"/>
  <c r="G227" i="1"/>
  <c r="N227" i="1" s="1"/>
  <c r="G202" i="1"/>
  <c r="N202" i="1" s="1"/>
  <c r="G203" i="1"/>
  <c r="N203" i="1" s="1"/>
  <c r="G204" i="1"/>
  <c r="N204" i="1" s="1"/>
  <c r="G205" i="1"/>
  <c r="N205" i="1" s="1"/>
  <c r="G206" i="1"/>
  <c r="N206" i="1" s="1"/>
  <c r="G207" i="1"/>
  <c r="N207" i="1" s="1"/>
  <c r="G208" i="1"/>
  <c r="N208" i="1" s="1"/>
  <c r="G209" i="1"/>
  <c r="N209" i="1" s="1"/>
  <c r="G210" i="1"/>
  <c r="G211" i="1"/>
  <c r="N211" i="1" s="1"/>
  <c r="G212" i="1"/>
  <c r="N212" i="1" s="1"/>
  <c r="G213" i="1"/>
  <c r="N213" i="1" s="1"/>
  <c r="G214" i="1"/>
  <c r="N214" i="1" s="1"/>
  <c r="G215" i="1"/>
  <c r="G216" i="1"/>
  <c r="N216" i="1" s="1"/>
  <c r="G217" i="1"/>
  <c r="N217" i="1" s="1"/>
  <c r="G218" i="1"/>
  <c r="N218" i="1" s="1"/>
  <c r="G219" i="1"/>
  <c r="J219" i="1" s="1"/>
  <c r="S219" i="1" s="1"/>
  <c r="G220" i="1"/>
  <c r="N220" i="1" s="1"/>
  <c r="G221" i="1"/>
  <c r="N221" i="1" s="1"/>
  <c r="G222" i="1"/>
  <c r="N222" i="1" s="1"/>
  <c r="G223" i="1"/>
  <c r="N223" i="1" s="1"/>
  <c r="G224" i="1"/>
  <c r="N224" i="1" s="1"/>
  <c r="G225" i="1"/>
  <c r="N225" i="1" s="1"/>
  <c r="G201" i="1"/>
  <c r="N201" i="1" s="1"/>
  <c r="G191" i="1"/>
  <c r="N191" i="1" s="1"/>
  <c r="G192" i="1"/>
  <c r="N192" i="1" s="1"/>
  <c r="G193" i="1"/>
  <c r="G194" i="1"/>
  <c r="G195" i="1"/>
  <c r="G196" i="1"/>
  <c r="N196" i="1" s="1"/>
  <c r="G197" i="1"/>
  <c r="N197" i="1" s="1"/>
  <c r="G198" i="1"/>
  <c r="N198" i="1" s="1"/>
  <c r="G199" i="1"/>
  <c r="N199" i="1" s="1"/>
  <c r="G176" i="1"/>
  <c r="N176" i="1" s="1"/>
  <c r="G177" i="1"/>
  <c r="G178" i="1"/>
  <c r="G179" i="1"/>
  <c r="G180" i="1"/>
  <c r="N180" i="1" s="1"/>
  <c r="G181" i="1"/>
  <c r="N181" i="1" s="1"/>
  <c r="G182" i="1"/>
  <c r="N182" i="1" s="1"/>
  <c r="G183" i="1"/>
  <c r="N183" i="1" s="1"/>
  <c r="G184" i="1"/>
  <c r="N184" i="1" s="1"/>
  <c r="G185" i="1"/>
  <c r="G186" i="1"/>
  <c r="G187" i="1"/>
  <c r="G188" i="1"/>
  <c r="N188" i="1" s="1"/>
  <c r="G189" i="1"/>
  <c r="N189" i="1" s="1"/>
  <c r="G190" i="1"/>
  <c r="N190" i="1" s="1"/>
  <c r="G152" i="1"/>
  <c r="N152" i="1" s="1"/>
  <c r="G153" i="1"/>
  <c r="G154" i="1"/>
  <c r="N154" i="1" s="1"/>
  <c r="G155" i="1"/>
  <c r="N155" i="1" s="1"/>
  <c r="G156" i="1"/>
  <c r="G157" i="1"/>
  <c r="N157" i="1" s="1"/>
  <c r="G158" i="1"/>
  <c r="G159" i="1"/>
  <c r="N159" i="1" s="1"/>
  <c r="G160" i="1"/>
  <c r="N160" i="1" s="1"/>
  <c r="G161" i="1"/>
  <c r="G162" i="1"/>
  <c r="N162" i="1" s="1"/>
  <c r="G163" i="1"/>
  <c r="G164" i="1"/>
  <c r="N164" i="1" s="1"/>
  <c r="G165" i="1"/>
  <c r="N165" i="1" s="1"/>
  <c r="G166" i="1"/>
  <c r="N166" i="1" s="1"/>
  <c r="G167" i="1"/>
  <c r="N167" i="1" s="1"/>
  <c r="G168" i="1"/>
  <c r="N168" i="1" s="1"/>
  <c r="G169" i="1"/>
  <c r="G170" i="1"/>
  <c r="G171" i="1"/>
  <c r="G172" i="1"/>
  <c r="N172" i="1" s="1"/>
  <c r="G173" i="1"/>
  <c r="N173" i="1" s="1"/>
  <c r="G174" i="1"/>
  <c r="G175" i="1"/>
  <c r="N175" i="1" s="1"/>
  <c r="G151" i="1"/>
  <c r="N151" i="1" s="1"/>
  <c r="G140" i="1"/>
  <c r="G141" i="1"/>
  <c r="N141" i="1" s="1"/>
  <c r="G142" i="1"/>
  <c r="G143" i="1"/>
  <c r="N143" i="1" s="1"/>
  <c r="G144" i="1"/>
  <c r="N144" i="1" s="1"/>
  <c r="G145" i="1"/>
  <c r="G146" i="1"/>
  <c r="N146" i="1" s="1"/>
  <c r="G147" i="1"/>
  <c r="N147" i="1" s="1"/>
  <c r="G148" i="1"/>
  <c r="G149" i="1"/>
  <c r="G114" i="1"/>
  <c r="G115" i="1"/>
  <c r="N115" i="1" s="1"/>
  <c r="G116" i="1"/>
  <c r="G117" i="1"/>
  <c r="N117" i="1" s="1"/>
  <c r="G118" i="1"/>
  <c r="G119" i="1"/>
  <c r="N119" i="1" s="1"/>
  <c r="G120" i="1"/>
  <c r="N120" i="1" s="1"/>
  <c r="G121" i="1"/>
  <c r="G122" i="1"/>
  <c r="N122" i="1" s="1"/>
  <c r="G123" i="1"/>
  <c r="G124" i="1"/>
  <c r="G125" i="1"/>
  <c r="J125" i="1" s="1"/>
  <c r="S125" i="1" s="1"/>
  <c r="G126" i="1"/>
  <c r="G127" i="1"/>
  <c r="N127" i="1" s="1"/>
  <c r="G128" i="1"/>
  <c r="G129" i="1"/>
  <c r="G130" i="1"/>
  <c r="N130" i="1" s="1"/>
  <c r="G131" i="1"/>
  <c r="N131" i="1" s="1"/>
  <c r="G132" i="1"/>
  <c r="G133" i="1"/>
  <c r="J133" i="1" s="1"/>
  <c r="S133" i="1" s="1"/>
  <c r="G134" i="1"/>
  <c r="G135" i="1"/>
  <c r="N135" i="1" s="1"/>
  <c r="G136" i="1"/>
  <c r="G137" i="1"/>
  <c r="G138" i="1"/>
  <c r="G139" i="1"/>
  <c r="G113" i="1"/>
  <c r="G110" i="1"/>
  <c r="G111" i="1"/>
  <c r="N111" i="1" s="1"/>
  <c r="G104" i="1"/>
  <c r="N104" i="1" s="1"/>
  <c r="G105" i="1"/>
  <c r="G106" i="1"/>
  <c r="N106" i="1" s="1"/>
  <c r="G107" i="1"/>
  <c r="N107" i="1" s="1"/>
  <c r="G108" i="1"/>
  <c r="G109" i="1"/>
  <c r="G103" i="1"/>
  <c r="N103" i="1" s="1"/>
  <c r="G70" i="1"/>
  <c r="N70" i="1" s="1"/>
  <c r="G71" i="1"/>
  <c r="N71" i="1" s="1"/>
  <c r="G72" i="1"/>
  <c r="G73" i="1"/>
  <c r="G74" i="1"/>
  <c r="G75" i="1"/>
  <c r="G76" i="1"/>
  <c r="G77" i="1"/>
  <c r="N77" i="1" s="1"/>
  <c r="G78" i="1"/>
  <c r="G79" i="1"/>
  <c r="N79" i="1" s="1"/>
  <c r="G80" i="1"/>
  <c r="N80" i="1" s="1"/>
  <c r="G81" i="1"/>
  <c r="G82" i="1"/>
  <c r="N82" i="1" s="1"/>
  <c r="G83" i="1"/>
  <c r="N83" i="1" s="1"/>
  <c r="G84" i="1"/>
  <c r="G85" i="1"/>
  <c r="N85" i="1" s="1"/>
  <c r="G86" i="1"/>
  <c r="G87" i="1"/>
  <c r="N87" i="1" s="1"/>
  <c r="G88" i="1"/>
  <c r="G89" i="1"/>
  <c r="G90" i="1"/>
  <c r="N90" i="1" s="1"/>
  <c r="G91" i="1"/>
  <c r="N91" i="1" s="1"/>
  <c r="G92" i="1"/>
  <c r="G93" i="1"/>
  <c r="N93" i="1" s="1"/>
  <c r="G94" i="1"/>
  <c r="G95" i="1"/>
  <c r="N95" i="1" s="1"/>
  <c r="G96" i="1"/>
  <c r="N96" i="1" s="1"/>
  <c r="G97" i="1"/>
  <c r="G98" i="1"/>
  <c r="G99" i="1"/>
  <c r="G100" i="1"/>
  <c r="G101" i="1"/>
  <c r="N101" i="1" s="1"/>
  <c r="G69" i="1"/>
  <c r="N69" i="1" s="1"/>
  <c r="G63" i="1"/>
  <c r="N63" i="1" s="1"/>
  <c r="G64" i="1"/>
  <c r="N64" i="1" s="1"/>
  <c r="G65" i="1"/>
  <c r="G66" i="1"/>
  <c r="N66" i="1" s="1"/>
  <c r="G67" i="1"/>
  <c r="G44" i="1"/>
  <c r="G45" i="1"/>
  <c r="G46" i="1"/>
  <c r="G47" i="1"/>
  <c r="N47" i="1" s="1"/>
  <c r="G48" i="1"/>
  <c r="N48" i="1" s="1"/>
  <c r="G49" i="1"/>
  <c r="N49" i="1" s="1"/>
  <c r="G50" i="1"/>
  <c r="N50" i="1" s="1"/>
  <c r="G51" i="1"/>
  <c r="G52" i="1"/>
  <c r="G53" i="1"/>
  <c r="N53" i="1" s="1"/>
  <c r="G54" i="1"/>
  <c r="G55" i="1"/>
  <c r="N55" i="1" s="1"/>
  <c r="G56" i="1"/>
  <c r="G57" i="1"/>
  <c r="N57" i="1" s="1"/>
  <c r="G58" i="1"/>
  <c r="G59" i="1"/>
  <c r="G60" i="1"/>
  <c r="G61" i="1"/>
  <c r="N61" i="1" s="1"/>
  <c r="G62" i="1"/>
  <c r="G43" i="1"/>
  <c r="N43" i="1" s="1"/>
  <c r="G4" i="1"/>
  <c r="G5" i="1"/>
  <c r="N5" i="1" s="1"/>
  <c r="G6" i="1"/>
  <c r="G7" i="1"/>
  <c r="N7" i="1" s="1"/>
  <c r="G8" i="1"/>
  <c r="G9" i="1"/>
  <c r="N9" i="1" s="1"/>
  <c r="G10" i="1"/>
  <c r="N10" i="1" s="1"/>
  <c r="G11" i="1"/>
  <c r="G12" i="1"/>
  <c r="G13" i="1"/>
  <c r="G14" i="1"/>
  <c r="G15" i="1"/>
  <c r="N15" i="1" s="1"/>
  <c r="G16" i="1"/>
  <c r="N16" i="1" s="1"/>
  <c r="G17" i="1"/>
  <c r="N17" i="1" s="1"/>
  <c r="G18" i="1"/>
  <c r="N18" i="1" s="1"/>
  <c r="G19" i="1"/>
  <c r="G20" i="1"/>
  <c r="G21" i="1"/>
  <c r="N21" i="1" s="1"/>
  <c r="G22" i="1"/>
  <c r="N22" i="1" s="1"/>
  <c r="G23" i="1"/>
  <c r="N23" i="1" s="1"/>
  <c r="G24" i="1"/>
  <c r="G25" i="1"/>
  <c r="G26" i="1"/>
  <c r="N26" i="1" s="1"/>
  <c r="G27" i="1"/>
  <c r="G28" i="1"/>
  <c r="G29" i="1"/>
  <c r="G30" i="1"/>
  <c r="N30" i="1" s="1"/>
  <c r="G31" i="1"/>
  <c r="N31" i="1" s="1"/>
  <c r="G32" i="1"/>
  <c r="N32" i="1" s="1"/>
  <c r="G33" i="1"/>
  <c r="G34" i="1"/>
  <c r="N34" i="1" s="1"/>
  <c r="G35" i="1"/>
  <c r="G36" i="1"/>
  <c r="G37" i="1"/>
  <c r="N37" i="1" s="1"/>
  <c r="G38" i="1"/>
  <c r="G39" i="1"/>
  <c r="N39" i="1" s="1"/>
  <c r="G40" i="1"/>
  <c r="G41" i="1"/>
  <c r="G3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J271" i="1" s="1"/>
  <c r="S271" i="1" s="1"/>
  <c r="F272" i="1"/>
  <c r="F273" i="1"/>
  <c r="F274" i="1"/>
  <c r="F275" i="1"/>
  <c r="F276" i="1"/>
  <c r="F277" i="1"/>
  <c r="F278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22" i="1"/>
  <c r="F223" i="1"/>
  <c r="J223" i="1" s="1"/>
  <c r="S223" i="1" s="1"/>
  <c r="F224" i="1"/>
  <c r="F225" i="1"/>
  <c r="F226" i="1"/>
  <c r="J226" i="1" s="1"/>
  <c r="S226" i="1" s="1"/>
  <c r="F227" i="1"/>
  <c r="F228" i="1"/>
  <c r="F229" i="1"/>
  <c r="F230" i="1"/>
  <c r="F231" i="1"/>
  <c r="F205" i="1"/>
  <c r="F206" i="1"/>
  <c r="F207" i="1"/>
  <c r="J207" i="1" s="1"/>
  <c r="S207" i="1" s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192" i="1"/>
  <c r="F193" i="1"/>
  <c r="F194" i="1"/>
  <c r="F195" i="1"/>
  <c r="F196" i="1"/>
  <c r="F197" i="1"/>
  <c r="F198" i="1"/>
  <c r="F199" i="1"/>
  <c r="F200" i="1"/>
  <c r="J200" i="1" s="1"/>
  <c r="S200" i="1" s="1"/>
  <c r="F201" i="1"/>
  <c r="F202" i="1"/>
  <c r="F203" i="1"/>
  <c r="F204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41" i="1"/>
  <c r="F142" i="1"/>
  <c r="F143" i="1"/>
  <c r="F144" i="1"/>
  <c r="F145" i="1"/>
  <c r="F146" i="1"/>
  <c r="F147" i="1"/>
  <c r="F148" i="1"/>
  <c r="F149" i="1"/>
  <c r="F150" i="1"/>
  <c r="J150" i="1" s="1"/>
  <c r="S150" i="1" s="1"/>
  <c r="F151" i="1"/>
  <c r="F152" i="1"/>
  <c r="F153" i="1"/>
  <c r="F154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03" i="1"/>
  <c r="F104" i="1"/>
  <c r="F105" i="1"/>
  <c r="F106" i="1"/>
  <c r="F107" i="1"/>
  <c r="F108" i="1"/>
  <c r="F109" i="1"/>
  <c r="F110" i="1"/>
  <c r="F111" i="1"/>
  <c r="F112" i="1"/>
  <c r="J112" i="1" s="1"/>
  <c r="S112" i="1" s="1"/>
  <c r="F113" i="1"/>
  <c r="F114" i="1"/>
  <c r="F115" i="1"/>
  <c r="F116" i="1"/>
  <c r="F117" i="1"/>
  <c r="F118" i="1"/>
  <c r="F119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J102" i="1" s="1"/>
  <c r="S102" i="1" s="1"/>
  <c r="F69" i="1"/>
  <c r="F70" i="1"/>
  <c r="F71" i="1"/>
  <c r="F72" i="1"/>
  <c r="F73" i="1"/>
  <c r="F74" i="1"/>
  <c r="F75" i="1"/>
  <c r="F76" i="1"/>
  <c r="F77" i="1"/>
  <c r="J77" i="1" s="1"/>
  <c r="S77" i="1" s="1"/>
  <c r="F78" i="1"/>
  <c r="F79" i="1"/>
  <c r="F80" i="1"/>
  <c r="F81" i="1"/>
  <c r="F82" i="1"/>
  <c r="F83" i="1"/>
  <c r="F68" i="1"/>
  <c r="J68" i="1" s="1"/>
  <c r="S68" i="1" s="1"/>
  <c r="F65" i="1"/>
  <c r="F66" i="1"/>
  <c r="F67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42" i="1"/>
  <c r="J42" i="1" s="1"/>
  <c r="S42" i="1" s="1"/>
  <c r="F39" i="1"/>
  <c r="F40" i="1"/>
  <c r="F4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J34" i="1" s="1"/>
  <c r="S34" i="1" s="1"/>
  <c r="F35" i="1"/>
  <c r="F36" i="1"/>
  <c r="F37" i="1"/>
  <c r="F38" i="1"/>
  <c r="F3" i="1"/>
  <c r="F4" i="1"/>
  <c r="F5" i="1"/>
  <c r="J5" i="1" s="1"/>
  <c r="S5" i="1" s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J18" i="1" s="1"/>
  <c r="S18" i="1" s="1"/>
  <c r="F19" i="1"/>
  <c r="F20" i="1"/>
  <c r="F21" i="1"/>
  <c r="F2" i="1"/>
  <c r="J2" i="1" s="1"/>
  <c r="S2" i="1" s="1"/>
  <c r="P2" i="1"/>
  <c r="O2" i="1"/>
  <c r="L2" i="1"/>
  <c r="M2" i="1" s="1"/>
  <c r="K2" i="1"/>
  <c r="J82" i="1" l="1"/>
  <c r="S82" i="1" s="1"/>
  <c r="J238" i="1"/>
  <c r="S238" i="1" s="1"/>
  <c r="J230" i="1"/>
  <c r="S230" i="1" s="1"/>
  <c r="J222" i="1"/>
  <c r="S222" i="1" s="1"/>
  <c r="J237" i="1"/>
  <c r="S237" i="1" s="1"/>
  <c r="J206" i="1"/>
  <c r="S206" i="1" s="1"/>
  <c r="J155" i="1"/>
  <c r="S155" i="1" s="1"/>
  <c r="J245" i="1"/>
  <c r="S245" i="1" s="1"/>
  <c r="J45" i="1"/>
  <c r="S45" i="1" s="1"/>
  <c r="J214" i="1"/>
  <c r="S214" i="1" s="1"/>
  <c r="J100" i="1"/>
  <c r="S100" i="1" s="1"/>
  <c r="J109" i="1"/>
  <c r="S109" i="1" s="1"/>
  <c r="J266" i="1"/>
  <c r="S266" i="1" s="1"/>
  <c r="J213" i="1"/>
  <c r="S213" i="1" s="1"/>
  <c r="J246" i="1"/>
  <c r="S246" i="1" s="1"/>
  <c r="J122" i="1"/>
  <c r="S122" i="1" s="1"/>
  <c r="J166" i="1"/>
  <c r="S166" i="1" s="1"/>
  <c r="J272" i="1"/>
  <c r="S272" i="1" s="1"/>
  <c r="J264" i="1"/>
  <c r="S264" i="1" s="1"/>
  <c r="J181" i="1"/>
  <c r="S181" i="1" s="1"/>
  <c r="J277" i="1"/>
  <c r="S277" i="1" s="1"/>
  <c r="J276" i="1"/>
  <c r="S276" i="1" s="1"/>
  <c r="J69" i="1"/>
  <c r="S69" i="1" s="1"/>
  <c r="J119" i="1"/>
  <c r="S119" i="1" s="1"/>
  <c r="J53" i="1"/>
  <c r="S53" i="1" s="1"/>
  <c r="J183" i="1"/>
  <c r="S183" i="1" s="1"/>
  <c r="J198" i="1"/>
  <c r="S198" i="1" s="1"/>
  <c r="J75" i="1"/>
  <c r="S75" i="1" s="1"/>
  <c r="J215" i="1"/>
  <c r="S215" i="1" s="1"/>
  <c r="J269" i="1"/>
  <c r="S269" i="1" s="1"/>
  <c r="N215" i="1"/>
  <c r="J190" i="1"/>
  <c r="S190" i="1" s="1"/>
  <c r="J197" i="1"/>
  <c r="S197" i="1" s="1"/>
  <c r="J107" i="1"/>
  <c r="S107" i="1" s="1"/>
  <c r="J263" i="1"/>
  <c r="S263" i="1" s="1"/>
  <c r="J231" i="1"/>
  <c r="S231" i="1" s="1"/>
  <c r="J199" i="1"/>
  <c r="S199" i="1" s="1"/>
  <c r="J154" i="1"/>
  <c r="S154" i="1" s="1"/>
  <c r="J103" i="1"/>
  <c r="S103" i="1" s="1"/>
  <c r="J47" i="1"/>
  <c r="S47" i="1" s="1"/>
  <c r="N133" i="1"/>
  <c r="N45" i="1"/>
  <c r="J135" i="1"/>
  <c r="S135" i="1" s="1"/>
  <c r="J168" i="1"/>
  <c r="S168" i="1" s="1"/>
  <c r="J63" i="1"/>
  <c r="S63" i="1" s="1"/>
  <c r="N219" i="1"/>
  <c r="J104" i="1"/>
  <c r="S104" i="1" s="1"/>
  <c r="J175" i="1"/>
  <c r="S175" i="1" s="1"/>
  <c r="J268" i="1"/>
  <c r="S268" i="1" s="1"/>
  <c r="J232" i="1"/>
  <c r="S232" i="1" s="1"/>
  <c r="J115" i="1"/>
  <c r="S115" i="1" s="1"/>
  <c r="J189" i="1"/>
  <c r="S189" i="1" s="1"/>
  <c r="J177" i="1"/>
  <c r="S177" i="1" s="1"/>
  <c r="J253" i="1"/>
  <c r="S253" i="1" s="1"/>
  <c r="J261" i="1"/>
  <c r="S261" i="1" s="1"/>
  <c r="J224" i="1"/>
  <c r="S224" i="1" s="1"/>
  <c r="J196" i="1"/>
  <c r="S196" i="1" s="1"/>
  <c r="J147" i="1"/>
  <c r="S147" i="1" s="1"/>
  <c r="J95" i="1"/>
  <c r="S95" i="1" s="1"/>
  <c r="J32" i="1"/>
  <c r="S32" i="1" s="1"/>
  <c r="N253" i="1"/>
  <c r="N125" i="1"/>
  <c r="J160" i="1"/>
  <c r="S160" i="1" s="1"/>
  <c r="J191" i="1"/>
  <c r="S191" i="1" s="1"/>
  <c r="J239" i="1"/>
  <c r="S239" i="1" s="1"/>
  <c r="J55" i="1"/>
  <c r="S55" i="1" s="1"/>
  <c r="J79" i="1"/>
  <c r="S79" i="1" s="1"/>
  <c r="J71" i="1"/>
  <c r="S71" i="1" s="1"/>
  <c r="J117" i="1"/>
  <c r="S117" i="1" s="1"/>
  <c r="J131" i="1"/>
  <c r="S131" i="1" s="1"/>
  <c r="J167" i="1"/>
  <c r="S167" i="1" s="1"/>
  <c r="J159" i="1"/>
  <c r="S159" i="1" s="1"/>
  <c r="J188" i="1"/>
  <c r="S188" i="1" s="1"/>
  <c r="J4" i="1"/>
  <c r="S4" i="1" s="1"/>
  <c r="J72" i="1"/>
  <c r="S72" i="1" s="1"/>
  <c r="J136" i="1"/>
  <c r="S136" i="1" s="1"/>
  <c r="J128" i="1"/>
  <c r="S128" i="1" s="1"/>
  <c r="J260" i="1"/>
  <c r="S260" i="1" s="1"/>
  <c r="J221" i="1"/>
  <c r="S221" i="1" s="1"/>
  <c r="J182" i="1"/>
  <c r="S182" i="1" s="1"/>
  <c r="J146" i="1"/>
  <c r="S146" i="1" s="1"/>
  <c r="J93" i="1"/>
  <c r="S93" i="1" s="1"/>
  <c r="J21" i="1"/>
  <c r="S21" i="1" s="1"/>
  <c r="N109" i="1"/>
  <c r="N12" i="1"/>
  <c r="J12" i="1"/>
  <c r="S12" i="1" s="1"/>
  <c r="N169" i="1"/>
  <c r="J169" i="1"/>
  <c r="S169" i="1" s="1"/>
  <c r="J252" i="1"/>
  <c r="S252" i="1" s="1"/>
  <c r="J120" i="1"/>
  <c r="S120" i="1" s="1"/>
  <c r="J80" i="1"/>
  <c r="S80" i="1" s="1"/>
  <c r="J151" i="1"/>
  <c r="S151" i="1" s="1"/>
  <c r="J203" i="1"/>
  <c r="S203" i="1" s="1"/>
  <c r="J262" i="1"/>
  <c r="S262" i="1" s="1"/>
  <c r="J248" i="1"/>
  <c r="S248" i="1" s="1"/>
  <c r="J212" i="1"/>
  <c r="S212" i="1" s="1"/>
  <c r="J184" i="1"/>
  <c r="S184" i="1" s="1"/>
  <c r="J173" i="1"/>
  <c r="S173" i="1" s="1"/>
  <c r="J141" i="1"/>
  <c r="S141" i="1" s="1"/>
  <c r="J96" i="1"/>
  <c r="S96" i="1" s="1"/>
  <c r="J31" i="1"/>
  <c r="S31" i="1" s="1"/>
  <c r="N177" i="1"/>
  <c r="N128" i="1"/>
  <c r="J26" i="1"/>
  <c r="S26" i="1" s="1"/>
  <c r="J210" i="1"/>
  <c r="S210" i="1" s="1"/>
  <c r="J250" i="1"/>
  <c r="S250" i="1" s="1"/>
  <c r="J234" i="1"/>
  <c r="S234" i="1" s="1"/>
  <c r="J247" i="1"/>
  <c r="S247" i="1" s="1"/>
  <c r="J236" i="1"/>
  <c r="S236" i="1" s="1"/>
  <c r="J208" i="1"/>
  <c r="S208" i="1" s="1"/>
  <c r="J172" i="1"/>
  <c r="S172" i="1" s="1"/>
  <c r="J157" i="1"/>
  <c r="S157" i="1" s="1"/>
  <c r="J50" i="1"/>
  <c r="S50" i="1" s="1"/>
  <c r="J23" i="1"/>
  <c r="S23" i="1" s="1"/>
  <c r="N72" i="1"/>
  <c r="J28" i="1"/>
  <c r="S28" i="1" s="1"/>
  <c r="N28" i="1"/>
  <c r="N88" i="1"/>
  <c r="J88" i="1"/>
  <c r="S88" i="1" s="1"/>
  <c r="J148" i="1"/>
  <c r="S148" i="1" s="1"/>
  <c r="N148" i="1"/>
  <c r="N153" i="1"/>
  <c r="J153" i="1"/>
  <c r="S153" i="1" s="1"/>
  <c r="J48" i="1"/>
  <c r="S48" i="1" s="1"/>
  <c r="J40" i="1"/>
  <c r="S40" i="1" s="1"/>
  <c r="N40" i="1"/>
  <c r="N52" i="1"/>
  <c r="J52" i="1"/>
  <c r="S52" i="1" s="1"/>
  <c r="J92" i="1"/>
  <c r="S92" i="1" s="1"/>
  <c r="N92" i="1"/>
  <c r="J124" i="1"/>
  <c r="S124" i="1" s="1"/>
  <c r="N124" i="1"/>
  <c r="N274" i="1"/>
  <c r="J274" i="1"/>
  <c r="S274" i="1" s="1"/>
  <c r="J270" i="1"/>
  <c r="S270" i="1" s="1"/>
  <c r="J192" i="1"/>
  <c r="S192" i="1" s="1"/>
  <c r="J51" i="1"/>
  <c r="S51" i="1" s="1"/>
  <c r="N51" i="1"/>
  <c r="J67" i="1"/>
  <c r="S67" i="1" s="1"/>
  <c r="N67" i="1"/>
  <c r="N99" i="1"/>
  <c r="J99" i="1"/>
  <c r="S99" i="1" s="1"/>
  <c r="J108" i="1"/>
  <c r="S108" i="1" s="1"/>
  <c r="N108" i="1"/>
  <c r="N139" i="1"/>
  <c r="J139" i="1"/>
  <c r="S139" i="1" s="1"/>
  <c r="N123" i="1"/>
  <c r="J123" i="1"/>
  <c r="S123" i="1" s="1"/>
  <c r="N156" i="1"/>
  <c r="J156" i="1"/>
  <c r="S156" i="1" s="1"/>
  <c r="N187" i="1"/>
  <c r="J187" i="1"/>
  <c r="S187" i="1" s="1"/>
  <c r="N179" i="1"/>
  <c r="J179" i="1"/>
  <c r="S179" i="1" s="1"/>
  <c r="N195" i="1"/>
  <c r="J195" i="1"/>
  <c r="S195" i="1" s="1"/>
  <c r="N273" i="1"/>
  <c r="J273" i="1"/>
  <c r="S273" i="1" s="1"/>
  <c r="N265" i="1"/>
  <c r="J265" i="1"/>
  <c r="S265" i="1" s="1"/>
  <c r="N257" i="1"/>
  <c r="J257" i="1"/>
  <c r="S257" i="1" s="1"/>
  <c r="J255" i="1"/>
  <c r="S255" i="1" s="1"/>
  <c r="J244" i="1"/>
  <c r="S244" i="1" s="1"/>
  <c r="J216" i="1"/>
  <c r="S216" i="1" s="1"/>
  <c r="J205" i="1"/>
  <c r="S205" i="1" s="1"/>
  <c r="J180" i="1"/>
  <c r="S180" i="1" s="1"/>
  <c r="J130" i="1"/>
  <c r="S130" i="1" s="1"/>
  <c r="J90" i="1"/>
  <c r="S90" i="1" s="1"/>
  <c r="J66" i="1"/>
  <c r="S66" i="1" s="1"/>
  <c r="J39" i="1"/>
  <c r="S39" i="1" s="1"/>
  <c r="J16" i="1"/>
  <c r="S16" i="1" s="1"/>
  <c r="N266" i="1"/>
  <c r="N100" i="1"/>
  <c r="J105" i="1"/>
  <c r="S105" i="1" s="1"/>
  <c r="N105" i="1"/>
  <c r="N140" i="1"/>
  <c r="J140" i="1"/>
  <c r="S140" i="1" s="1"/>
  <c r="N8" i="1"/>
  <c r="J8" i="1"/>
  <c r="S8" i="1" s="1"/>
  <c r="N76" i="1"/>
  <c r="J76" i="1"/>
  <c r="S76" i="1" s="1"/>
  <c r="N132" i="1"/>
  <c r="J132" i="1"/>
  <c r="S132" i="1" s="1"/>
  <c r="N258" i="1"/>
  <c r="J258" i="1"/>
  <c r="S258" i="1" s="1"/>
  <c r="J256" i="1"/>
  <c r="S256" i="1" s="1"/>
  <c r="J220" i="1"/>
  <c r="S220" i="1" s="1"/>
  <c r="N59" i="1"/>
  <c r="J59" i="1"/>
  <c r="S59" i="1" s="1"/>
  <c r="N38" i="1"/>
  <c r="J38" i="1"/>
  <c r="S38" i="1" s="1"/>
  <c r="J30" i="1"/>
  <c r="S30" i="1" s="1"/>
  <c r="J22" i="1"/>
  <c r="S22" i="1" s="1"/>
  <c r="J14" i="1"/>
  <c r="S14" i="1" s="1"/>
  <c r="N14" i="1"/>
  <c r="J6" i="1"/>
  <c r="S6" i="1" s="1"/>
  <c r="N6" i="1"/>
  <c r="N58" i="1"/>
  <c r="J58" i="1"/>
  <c r="S58" i="1" s="1"/>
  <c r="J98" i="1"/>
  <c r="S98" i="1" s="1"/>
  <c r="N74" i="1"/>
  <c r="J74" i="1"/>
  <c r="S74" i="1" s="1"/>
  <c r="N138" i="1"/>
  <c r="J138" i="1"/>
  <c r="S138" i="1" s="1"/>
  <c r="N114" i="1"/>
  <c r="J114" i="1"/>
  <c r="S114" i="1" s="1"/>
  <c r="N142" i="1"/>
  <c r="J142" i="1"/>
  <c r="S142" i="1" s="1"/>
  <c r="N171" i="1"/>
  <c r="J171" i="1"/>
  <c r="S171" i="1" s="1"/>
  <c r="N163" i="1"/>
  <c r="J163" i="1"/>
  <c r="S163" i="1" s="1"/>
  <c r="N186" i="1"/>
  <c r="J186" i="1"/>
  <c r="S186" i="1" s="1"/>
  <c r="N178" i="1"/>
  <c r="J178" i="1"/>
  <c r="S178" i="1" s="1"/>
  <c r="J194" i="1"/>
  <c r="S194" i="1" s="1"/>
  <c r="J254" i="1"/>
  <c r="S254" i="1" s="1"/>
  <c r="J240" i="1"/>
  <c r="S240" i="1" s="1"/>
  <c r="J229" i="1"/>
  <c r="S229" i="1" s="1"/>
  <c r="J204" i="1"/>
  <c r="S204" i="1" s="1"/>
  <c r="J176" i="1"/>
  <c r="S176" i="1" s="1"/>
  <c r="J165" i="1"/>
  <c r="S165" i="1" s="1"/>
  <c r="J106" i="1"/>
  <c r="S106" i="1" s="1"/>
  <c r="J83" i="1"/>
  <c r="S83" i="1" s="1"/>
  <c r="J64" i="1"/>
  <c r="S64" i="1" s="1"/>
  <c r="J37" i="1"/>
  <c r="S37" i="1" s="1"/>
  <c r="J15" i="1"/>
  <c r="S15" i="1" s="1"/>
  <c r="N194" i="1"/>
  <c r="N98" i="1"/>
  <c r="N4" i="1"/>
  <c r="N36" i="1"/>
  <c r="J36" i="1"/>
  <c r="S36" i="1" s="1"/>
  <c r="N20" i="1"/>
  <c r="J20" i="1"/>
  <c r="S20" i="1" s="1"/>
  <c r="N56" i="1"/>
  <c r="J56" i="1"/>
  <c r="S56" i="1" s="1"/>
  <c r="N161" i="1"/>
  <c r="J161" i="1"/>
  <c r="S161" i="1" s="1"/>
  <c r="N24" i="1"/>
  <c r="J24" i="1"/>
  <c r="S24" i="1" s="1"/>
  <c r="N60" i="1"/>
  <c r="J60" i="1"/>
  <c r="S60" i="1" s="1"/>
  <c r="N44" i="1"/>
  <c r="J44" i="1"/>
  <c r="S44" i="1" s="1"/>
  <c r="J84" i="1"/>
  <c r="S84" i="1" s="1"/>
  <c r="N84" i="1"/>
  <c r="N113" i="1"/>
  <c r="J113" i="1"/>
  <c r="S113" i="1" s="1"/>
  <c r="J116" i="1"/>
  <c r="S116" i="1" s="1"/>
  <c r="N116" i="1"/>
  <c r="N29" i="1"/>
  <c r="J29" i="1"/>
  <c r="S29" i="1" s="1"/>
  <c r="N13" i="1"/>
  <c r="J13" i="1"/>
  <c r="S13" i="1" s="1"/>
  <c r="J57" i="1"/>
  <c r="S57" i="1" s="1"/>
  <c r="J49" i="1"/>
  <c r="S49" i="1" s="1"/>
  <c r="J65" i="1"/>
  <c r="S65" i="1" s="1"/>
  <c r="N65" i="1"/>
  <c r="N97" i="1"/>
  <c r="J97" i="1"/>
  <c r="S97" i="1" s="1"/>
  <c r="N89" i="1"/>
  <c r="J89" i="1"/>
  <c r="S89" i="1" s="1"/>
  <c r="N81" i="1"/>
  <c r="J81" i="1"/>
  <c r="S81" i="1" s="1"/>
  <c r="N73" i="1"/>
  <c r="J73" i="1"/>
  <c r="S73" i="1" s="1"/>
  <c r="N137" i="1"/>
  <c r="J137" i="1"/>
  <c r="S137" i="1" s="1"/>
  <c r="N129" i="1"/>
  <c r="J129" i="1"/>
  <c r="S129" i="1" s="1"/>
  <c r="N121" i="1"/>
  <c r="J121" i="1"/>
  <c r="S121" i="1" s="1"/>
  <c r="J149" i="1"/>
  <c r="S149" i="1" s="1"/>
  <c r="N149" i="1"/>
  <c r="J170" i="1"/>
  <c r="S170" i="1" s="1"/>
  <c r="N170" i="1"/>
  <c r="J162" i="1"/>
  <c r="S162" i="1" s="1"/>
  <c r="N185" i="1"/>
  <c r="J185" i="1"/>
  <c r="S185" i="1" s="1"/>
  <c r="J193" i="1"/>
  <c r="S193" i="1" s="1"/>
  <c r="N193" i="1"/>
  <c r="J228" i="1"/>
  <c r="S228" i="1" s="1"/>
  <c r="J164" i="1"/>
  <c r="S164" i="1" s="1"/>
  <c r="J144" i="1"/>
  <c r="S144" i="1" s="1"/>
  <c r="J7" i="1"/>
  <c r="S7" i="1" s="1"/>
  <c r="N136" i="1"/>
  <c r="N35" i="1"/>
  <c r="J35" i="1"/>
  <c r="S35" i="1" s="1"/>
  <c r="N27" i="1"/>
  <c r="J27" i="1"/>
  <c r="S27" i="1" s="1"/>
  <c r="N19" i="1"/>
  <c r="J19" i="1"/>
  <c r="S19" i="1" s="1"/>
  <c r="N11" i="1"/>
  <c r="J11" i="1"/>
  <c r="S11" i="1" s="1"/>
  <c r="J43" i="1"/>
  <c r="S43" i="1" s="1"/>
  <c r="J275" i="1"/>
  <c r="S275" i="1" s="1"/>
  <c r="J267" i="1"/>
  <c r="S267" i="1" s="1"/>
  <c r="J259" i="1"/>
  <c r="S259" i="1" s="1"/>
  <c r="J251" i="1"/>
  <c r="S251" i="1" s="1"/>
  <c r="J243" i="1"/>
  <c r="S243" i="1" s="1"/>
  <c r="J235" i="1"/>
  <c r="S235" i="1" s="1"/>
  <c r="J227" i="1"/>
  <c r="S227" i="1" s="1"/>
  <c r="J211" i="1"/>
  <c r="S211" i="1" s="1"/>
  <c r="J152" i="1"/>
  <c r="S152" i="1" s="1"/>
  <c r="J127" i="1"/>
  <c r="S127" i="1" s="1"/>
  <c r="J101" i="1"/>
  <c r="S101" i="1" s="1"/>
  <c r="J61" i="1"/>
  <c r="S61" i="1" s="1"/>
  <c r="N210" i="1"/>
  <c r="N3" i="1"/>
  <c r="J3" i="1"/>
  <c r="S3" i="1" s="1"/>
  <c r="N62" i="1"/>
  <c r="J62" i="1"/>
  <c r="S62" i="1" s="1"/>
  <c r="N54" i="1"/>
  <c r="J54" i="1"/>
  <c r="S54" i="1" s="1"/>
  <c r="N46" i="1"/>
  <c r="J46" i="1"/>
  <c r="S46" i="1" s="1"/>
  <c r="N94" i="1"/>
  <c r="J94" i="1"/>
  <c r="S94" i="1" s="1"/>
  <c r="N86" i="1"/>
  <c r="J86" i="1"/>
  <c r="S86" i="1" s="1"/>
  <c r="N78" i="1"/>
  <c r="J78" i="1"/>
  <c r="S78" i="1" s="1"/>
  <c r="J70" i="1"/>
  <c r="S70" i="1" s="1"/>
  <c r="N134" i="1"/>
  <c r="J134" i="1"/>
  <c r="S134" i="1" s="1"/>
  <c r="N126" i="1"/>
  <c r="J126" i="1"/>
  <c r="S126" i="1" s="1"/>
  <c r="N118" i="1"/>
  <c r="J118" i="1"/>
  <c r="S118" i="1" s="1"/>
  <c r="J242" i="1"/>
  <c r="S242" i="1" s="1"/>
  <c r="J218" i="1"/>
  <c r="S218" i="1" s="1"/>
  <c r="J202" i="1"/>
  <c r="S202" i="1" s="1"/>
  <c r="J87" i="1"/>
  <c r="S87" i="1" s="1"/>
  <c r="J10" i="1"/>
  <c r="S10" i="1" s="1"/>
  <c r="J41" i="1"/>
  <c r="S41" i="1" s="1"/>
  <c r="N41" i="1"/>
  <c r="N33" i="1"/>
  <c r="J33" i="1"/>
  <c r="S33" i="1" s="1"/>
  <c r="J25" i="1"/>
  <c r="S25" i="1" s="1"/>
  <c r="N25" i="1"/>
  <c r="J17" i="1"/>
  <c r="S17" i="1" s="1"/>
  <c r="J9" i="1"/>
  <c r="S9" i="1" s="1"/>
  <c r="N110" i="1"/>
  <c r="J110" i="1"/>
  <c r="S110" i="1" s="1"/>
  <c r="N145" i="1"/>
  <c r="J145" i="1"/>
  <c r="S145" i="1" s="1"/>
  <c r="N158" i="1"/>
  <c r="J158" i="1"/>
  <c r="S158" i="1" s="1"/>
  <c r="J249" i="1"/>
  <c r="S249" i="1" s="1"/>
  <c r="J241" i="1"/>
  <c r="S241" i="1" s="1"/>
  <c r="J233" i="1"/>
  <c r="S233" i="1" s="1"/>
  <c r="J225" i="1"/>
  <c r="S225" i="1" s="1"/>
  <c r="J217" i="1"/>
  <c r="S217" i="1" s="1"/>
  <c r="J209" i="1"/>
  <c r="S209" i="1" s="1"/>
  <c r="J201" i="1"/>
  <c r="S201" i="1" s="1"/>
  <c r="J111" i="1"/>
  <c r="S111" i="1" s="1"/>
  <c r="J85" i="1"/>
  <c r="S85" i="1" s="1"/>
</calcChain>
</file>

<file path=xl/sharedStrings.xml><?xml version="1.0" encoding="utf-8"?>
<sst xmlns="http://schemas.openxmlformats.org/spreadsheetml/2006/main" count="20" uniqueCount="20">
  <si>
    <t>Depth (m)</t>
    <phoneticPr fontId="1" type="noConversion"/>
  </si>
  <si>
    <r>
      <t>q</t>
    </r>
    <r>
      <rPr>
        <vertAlign val="subscript"/>
        <sz val="12"/>
        <color theme="1"/>
        <rFont val="新細明體"/>
        <family val="1"/>
        <charset val="136"/>
        <scheme val="minor"/>
      </rPr>
      <t>t</t>
    </r>
    <r>
      <rPr>
        <sz val="12"/>
        <color theme="1"/>
        <rFont val="新細明體"/>
        <family val="2"/>
        <scheme val="minor"/>
      </rPr>
      <t xml:space="preserve"> (kN/m</t>
    </r>
    <r>
      <rPr>
        <vertAlign val="superscript"/>
        <sz val="12"/>
        <color theme="1"/>
        <rFont val="新細明體"/>
        <family val="1"/>
        <charset val="136"/>
        <scheme val="minor"/>
      </rPr>
      <t>2</t>
    </r>
    <r>
      <rPr>
        <sz val="12"/>
        <color theme="1"/>
        <rFont val="新細明體"/>
        <family val="2"/>
        <scheme val="minor"/>
      </rPr>
      <t>)</t>
    </r>
    <phoneticPr fontId="1" type="noConversion"/>
  </si>
  <si>
    <t>LL</t>
    <phoneticPr fontId="1" type="noConversion"/>
  </si>
  <si>
    <t>PI</t>
    <phoneticPr fontId="1" type="noConversion"/>
  </si>
  <si>
    <t>LI</t>
    <phoneticPr fontId="1" type="noConversion"/>
  </si>
  <si>
    <t>sig_v/Pa</t>
    <phoneticPr fontId="1" type="noConversion"/>
  </si>
  <si>
    <t>sig_p/Pa</t>
    <phoneticPr fontId="1" type="noConversion"/>
  </si>
  <si>
    <t>su/sig_v</t>
    <phoneticPr fontId="1" type="noConversion"/>
  </si>
  <si>
    <t>St</t>
    <phoneticPr fontId="1" type="noConversion"/>
  </si>
  <si>
    <t>Bq</t>
    <phoneticPr fontId="1" type="noConversion"/>
  </si>
  <si>
    <t>qt1</t>
    <phoneticPr fontId="1" type="noConversion"/>
  </si>
  <si>
    <t>qtu</t>
    <phoneticPr fontId="1" type="noConversion"/>
  </si>
  <si>
    <t>LL (%)</t>
    <phoneticPr fontId="1" type="noConversion"/>
  </si>
  <si>
    <t>PL (%)</t>
    <phoneticPr fontId="1" type="noConversion"/>
  </si>
  <si>
    <t>w (%)</t>
    <phoneticPr fontId="1" type="noConversion"/>
  </si>
  <si>
    <r>
      <t>u</t>
    </r>
    <r>
      <rPr>
        <vertAlign val="subscript"/>
        <sz val="12"/>
        <color theme="1"/>
        <rFont val="新細明體"/>
        <family val="1"/>
        <charset val="136"/>
        <scheme val="minor"/>
      </rPr>
      <t>0</t>
    </r>
    <r>
      <rPr>
        <sz val="12"/>
        <color theme="1"/>
        <rFont val="新細明體"/>
        <family val="2"/>
        <scheme val="minor"/>
      </rPr>
      <t xml:space="preserve"> (kN/m</t>
    </r>
    <r>
      <rPr>
        <vertAlign val="superscript"/>
        <sz val="12"/>
        <color theme="1"/>
        <rFont val="新細明體"/>
        <family val="1"/>
        <charset val="136"/>
        <scheme val="minor"/>
      </rPr>
      <t>2</t>
    </r>
    <r>
      <rPr>
        <sz val="12"/>
        <color theme="1"/>
        <rFont val="新細明體"/>
        <family val="2"/>
        <scheme val="minor"/>
      </rPr>
      <t>)</t>
    </r>
    <phoneticPr fontId="1" type="noConversion"/>
  </si>
  <si>
    <r>
      <rPr>
        <sz val="12"/>
        <color theme="1"/>
        <rFont val="Symbol"/>
        <family val="1"/>
        <charset val="2"/>
      </rPr>
      <t>s</t>
    </r>
    <r>
      <rPr>
        <sz val="12"/>
        <color theme="1"/>
        <rFont val="新細明體"/>
        <family val="2"/>
        <scheme val="minor"/>
      </rPr>
      <t>'</t>
    </r>
    <r>
      <rPr>
        <vertAlign val="subscript"/>
        <sz val="12"/>
        <color theme="1"/>
        <rFont val="新細明體"/>
        <family val="1"/>
        <charset val="136"/>
        <scheme val="minor"/>
      </rPr>
      <t>v</t>
    </r>
    <r>
      <rPr>
        <sz val="12"/>
        <color theme="1"/>
        <rFont val="新細明體"/>
        <family val="2"/>
        <scheme val="minor"/>
      </rPr>
      <t xml:space="preserve"> (kN/m</t>
    </r>
    <r>
      <rPr>
        <vertAlign val="superscript"/>
        <sz val="12"/>
        <color theme="1"/>
        <rFont val="新細明體"/>
        <family val="1"/>
        <charset val="136"/>
        <scheme val="minor"/>
      </rPr>
      <t>2</t>
    </r>
    <r>
      <rPr>
        <sz val="12"/>
        <color theme="1"/>
        <rFont val="新細明體"/>
        <family val="2"/>
        <scheme val="minor"/>
      </rPr>
      <t>)</t>
    </r>
    <phoneticPr fontId="1" type="noConversion"/>
  </si>
  <si>
    <r>
      <rPr>
        <sz val="12"/>
        <color theme="1"/>
        <rFont val="Symbol"/>
        <family val="1"/>
        <charset val="2"/>
      </rPr>
      <t>s</t>
    </r>
    <r>
      <rPr>
        <sz val="12"/>
        <color theme="1"/>
        <rFont val="新細明體"/>
        <family val="2"/>
        <scheme val="minor"/>
      </rPr>
      <t>'</t>
    </r>
    <r>
      <rPr>
        <vertAlign val="subscript"/>
        <sz val="12"/>
        <color theme="1"/>
        <rFont val="新細明體"/>
        <family val="1"/>
        <charset val="136"/>
        <scheme val="minor"/>
      </rPr>
      <t>p</t>
    </r>
    <r>
      <rPr>
        <sz val="12"/>
        <color theme="1"/>
        <rFont val="新細明體"/>
        <family val="2"/>
        <scheme val="minor"/>
      </rPr>
      <t xml:space="preserve"> (kN/m</t>
    </r>
    <r>
      <rPr>
        <vertAlign val="superscript"/>
        <sz val="12"/>
        <color theme="1"/>
        <rFont val="新細明體"/>
        <family val="1"/>
        <charset val="136"/>
        <scheme val="minor"/>
      </rPr>
      <t>2</t>
    </r>
    <r>
      <rPr>
        <sz val="12"/>
        <color theme="1"/>
        <rFont val="新細明體"/>
        <family val="2"/>
        <scheme val="minor"/>
      </rPr>
      <t>)</t>
    </r>
    <phoneticPr fontId="1" type="noConversion"/>
  </si>
  <si>
    <r>
      <rPr>
        <sz val="12"/>
        <color theme="1"/>
        <rFont val="新細明體"/>
        <family val="2"/>
      </rPr>
      <t>s</t>
    </r>
    <r>
      <rPr>
        <vertAlign val="subscript"/>
        <sz val="12"/>
        <color theme="1"/>
        <rFont val="新細明體"/>
        <family val="1"/>
        <charset val="136"/>
        <scheme val="minor"/>
      </rPr>
      <t>u</t>
    </r>
    <r>
      <rPr>
        <sz val="12"/>
        <color theme="1"/>
        <rFont val="新細明體"/>
        <family val="2"/>
        <scheme val="minor"/>
      </rPr>
      <t xml:space="preserve"> (kN/m</t>
    </r>
    <r>
      <rPr>
        <vertAlign val="superscript"/>
        <sz val="12"/>
        <color theme="1"/>
        <rFont val="新細明體"/>
        <family val="1"/>
        <charset val="136"/>
        <scheme val="minor"/>
      </rPr>
      <t>2</t>
    </r>
    <r>
      <rPr>
        <sz val="12"/>
        <color theme="1"/>
        <rFont val="新細明體"/>
        <family val="2"/>
        <scheme val="minor"/>
      </rPr>
      <t>)</t>
    </r>
    <phoneticPr fontId="1" type="noConversion"/>
  </si>
  <si>
    <r>
      <rPr>
        <sz val="12"/>
        <color theme="1"/>
        <rFont val="Symbol"/>
        <family val="1"/>
        <charset val="2"/>
      </rPr>
      <t>s</t>
    </r>
    <r>
      <rPr>
        <vertAlign val="subscript"/>
        <sz val="12"/>
        <color theme="1"/>
        <rFont val="新細明體"/>
        <family val="1"/>
        <charset val="136"/>
        <scheme val="minor"/>
      </rPr>
      <t>v</t>
    </r>
    <r>
      <rPr>
        <sz val="12"/>
        <color theme="1"/>
        <rFont val="新細明體"/>
        <family val="2"/>
        <scheme val="minor"/>
      </rPr>
      <t xml:space="preserve"> (kN/m</t>
    </r>
    <r>
      <rPr>
        <vertAlign val="superscript"/>
        <sz val="12"/>
        <color theme="1"/>
        <rFont val="新細明體"/>
        <family val="1"/>
        <charset val="136"/>
        <scheme val="minor"/>
      </rPr>
      <t>2</t>
    </r>
    <r>
      <rPr>
        <sz val="12"/>
        <color theme="1"/>
        <rFont val="新細明體"/>
        <family val="2"/>
        <scheme val="minor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</si>
</sst>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vertAlign val="subscript"/>
      <sz val="12"/>
      <color theme="1"/>
      <name val="新細明體"/>
      <family val="1"/>
      <charset val="136"/>
      <scheme val="minor"/>
    </font>
    <font>
      <vertAlign val="superscript"/>
      <sz val="12"/>
      <color theme="1"/>
      <name val="新細明體"/>
      <family val="1"/>
      <charset val="136"/>
      <scheme val="minor"/>
    </font>
    <font>
      <sz val="12"/>
      <color theme="1"/>
      <name val="Symbol"/>
      <family val="1"/>
      <charset val="2"/>
    </font>
    <font>
      <sz val="12"/>
      <color theme="1"/>
      <name val="新細明體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quotePrefix="1" applyFill="1"/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8"/>
  <sheetViews>
    <sheetView tabSelected="1" topLeftCell="M1" workbookViewId="0">
      <pane ySplit="1" topLeftCell="A263" activePane="bottomLeft" state="frozen"/>
      <selection pane="bottomLeft" activeCell="S278" sqref="S278"/>
    </sheetView>
  </sheetViews>
  <sheetFormatPr defaultRowHeight="16.5" x14ac:dyDescent="0.25"/>
  <sheetData>
    <row r="1" spans="1:20" ht="21" x14ac:dyDescent="0.35">
      <c r="A1" t="s">
        <v>0</v>
      </c>
      <c r="B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</row>
    <row r="2" spans="1:20" x14ac:dyDescent="0.25">
      <c r="A2">
        <v>12.8</v>
      </c>
      <c r="B2">
        <v>894.29414660194197</v>
      </c>
      <c r="C2" s="1">
        <v>30.14</v>
      </c>
      <c r="D2" s="1">
        <v>21</v>
      </c>
      <c r="E2" s="1">
        <v>31.99999999916</v>
      </c>
      <c r="F2">
        <f>(A2-2.05)*9.81</f>
        <v>105.45750000000001</v>
      </c>
      <c r="G2" s="1">
        <v>127.9500000493</v>
      </c>
      <c r="H2" s="1">
        <v>172.73250003109999</v>
      </c>
      <c r="I2" s="1">
        <v>46.893970070768603</v>
      </c>
      <c r="J2" s="1">
        <f>G2+F2</f>
        <v>233.40750004930001</v>
      </c>
      <c r="K2">
        <f>C2</f>
        <v>30.14</v>
      </c>
      <c r="L2">
        <f>C2-D2</f>
        <v>9.14</v>
      </c>
      <c r="M2">
        <f>(E2-D2)/L2</f>
        <v>1.2035010939999999</v>
      </c>
      <c r="N2">
        <f t="shared" ref="N2:N10" si="0">G2/101.3</f>
        <v>1.2630799610000001</v>
      </c>
      <c r="O2">
        <f>H2/101.3</f>
        <v>1.705157947</v>
      </c>
      <c r="P2">
        <f>I2/G2</f>
        <v>0.36650230600000028</v>
      </c>
      <c r="S2">
        <f t="shared" ref="S2:S10" si="1">(B2-J2)/G2</f>
        <v>5.1651945783352708</v>
      </c>
    </row>
    <row r="3" spans="1:20" x14ac:dyDescent="0.25">
      <c r="A3">
        <v>12.85</v>
      </c>
      <c r="B3">
        <v>934.63555194174705</v>
      </c>
      <c r="F3">
        <f>(A3-2.05)*9.81</f>
        <v>105.94800000000001</v>
      </c>
      <c r="G3">
        <f>($G$2*($A$42-A3)+$G$42*(A3-$A$2))/($A$42-$A$2)</f>
        <v>128.37275004890751</v>
      </c>
      <c r="J3" s="1">
        <f t="shared" ref="J3:J66" si="2">G3+F3</f>
        <v>234.32075004890751</v>
      </c>
      <c r="N3">
        <f t="shared" si="0"/>
        <v>1.2672532087750001</v>
      </c>
      <c r="S3">
        <f t="shared" si="1"/>
        <v>5.4553228907695237</v>
      </c>
    </row>
    <row r="4" spans="1:20" x14ac:dyDescent="0.25">
      <c r="A4">
        <v>12.9</v>
      </c>
      <c r="B4">
        <v>868.16456000000096</v>
      </c>
      <c r="F4">
        <f t="shared" ref="F4:F21" si="3">(A4-2.05)*9.81</f>
        <v>106.43850000000002</v>
      </c>
      <c r="G4">
        <f t="shared" ref="G4:G41" si="4">($G$2*($A$42-A4)+$G$42*(A4-$A$2))/($A$42-$A$2)</f>
        <v>128.79550004851501</v>
      </c>
      <c r="J4" s="1">
        <f t="shared" si="2"/>
        <v>235.23400004851504</v>
      </c>
      <c r="N4">
        <f t="shared" si="0"/>
        <v>1.2714264565500002</v>
      </c>
      <c r="S4">
        <f t="shared" si="1"/>
        <v>4.914228833407007</v>
      </c>
    </row>
    <row r="5" spans="1:20" x14ac:dyDescent="0.25">
      <c r="A5">
        <v>12.95</v>
      </c>
      <c r="B5">
        <v>865.22919563106802</v>
      </c>
      <c r="F5">
        <f t="shared" si="3"/>
        <v>106.92899999999999</v>
      </c>
      <c r="G5">
        <f t="shared" si="4"/>
        <v>129.21825004812248</v>
      </c>
      <c r="J5" s="1">
        <f t="shared" si="2"/>
        <v>236.14725004812249</v>
      </c>
      <c r="N5">
        <f t="shared" si="0"/>
        <v>1.2755997043249998</v>
      </c>
      <c r="S5">
        <f t="shared" si="1"/>
        <v>4.8683676287882527</v>
      </c>
    </row>
    <row r="6" spans="1:20" x14ac:dyDescent="0.25">
      <c r="A6">
        <v>13</v>
      </c>
      <c r="B6">
        <v>888.22205728155302</v>
      </c>
      <c r="F6">
        <f t="shared" si="3"/>
        <v>107.4195</v>
      </c>
      <c r="G6">
        <f t="shared" si="4"/>
        <v>129.64100004772999</v>
      </c>
      <c r="J6" s="1">
        <f t="shared" si="2"/>
        <v>237.06050004772999</v>
      </c>
      <c r="N6">
        <f t="shared" si="0"/>
        <v>1.2797729520999999</v>
      </c>
      <c r="S6">
        <f t="shared" si="1"/>
        <v>5.0228057249950604</v>
      </c>
    </row>
    <row r="7" spans="1:20" x14ac:dyDescent="0.25">
      <c r="A7">
        <v>13.05</v>
      </c>
      <c r="B7">
        <v>911.21491893203904</v>
      </c>
      <c r="F7">
        <f t="shared" si="3"/>
        <v>107.91000000000001</v>
      </c>
      <c r="G7">
        <f t="shared" si="4"/>
        <v>130.06375004733749</v>
      </c>
      <c r="J7" s="1">
        <f t="shared" si="2"/>
        <v>237.97375004733749</v>
      </c>
      <c r="N7">
        <f t="shared" si="0"/>
        <v>1.2839461998749999</v>
      </c>
      <c r="S7">
        <f t="shared" si="1"/>
        <v>5.1762398719064411</v>
      </c>
    </row>
    <row r="8" spans="1:20" x14ac:dyDescent="0.25">
      <c r="A8">
        <v>13.1</v>
      </c>
      <c r="B8">
        <v>909.80312738853502</v>
      </c>
      <c r="F8">
        <f t="shared" si="3"/>
        <v>108.40050000000001</v>
      </c>
      <c r="G8">
        <f t="shared" si="4"/>
        <v>130.486500046945</v>
      </c>
      <c r="J8" s="1">
        <f t="shared" si="2"/>
        <v>238.88700004694499</v>
      </c>
      <c r="N8">
        <f t="shared" si="0"/>
        <v>1.28811944765</v>
      </c>
      <c r="S8">
        <f t="shared" si="1"/>
        <v>5.1416516428919099</v>
      </c>
    </row>
    <row r="9" spans="1:20" x14ac:dyDescent="0.25">
      <c r="A9">
        <v>13.15</v>
      </c>
      <c r="B9">
        <v>879.97206437670604</v>
      </c>
      <c r="F9">
        <f t="shared" si="3"/>
        <v>108.89100000000002</v>
      </c>
      <c r="G9">
        <f t="shared" si="4"/>
        <v>130.9092500465525</v>
      </c>
      <c r="J9" s="1">
        <f t="shared" si="2"/>
        <v>239.80025004655252</v>
      </c>
      <c r="N9">
        <f t="shared" si="0"/>
        <v>1.292292695425</v>
      </c>
      <c r="S9">
        <f t="shared" si="1"/>
        <v>4.8901954147816351</v>
      </c>
    </row>
    <row r="10" spans="1:20" x14ac:dyDescent="0.25">
      <c r="A10">
        <v>13.2</v>
      </c>
      <c r="B10">
        <v>854.09386116504902</v>
      </c>
      <c r="F10">
        <f t="shared" si="3"/>
        <v>109.38149999999999</v>
      </c>
      <c r="G10">
        <f t="shared" si="4"/>
        <v>131.33200004615998</v>
      </c>
      <c r="J10" s="1">
        <f t="shared" si="2"/>
        <v>240.71350004615996</v>
      </c>
      <c r="N10">
        <f t="shared" si="0"/>
        <v>1.2964659431999999</v>
      </c>
      <c r="S10">
        <f t="shared" si="1"/>
        <v>4.6704562551647797</v>
      </c>
    </row>
    <row r="11" spans="1:20" x14ac:dyDescent="0.25">
      <c r="A11">
        <v>13.25</v>
      </c>
      <c r="B11">
        <v>839.23575194174805</v>
      </c>
      <c r="F11">
        <f t="shared" si="3"/>
        <v>109.872</v>
      </c>
      <c r="G11">
        <f t="shared" si="4"/>
        <v>131.75475004576748</v>
      </c>
      <c r="J11" s="1">
        <f t="shared" si="2"/>
        <v>241.62675004576749</v>
      </c>
      <c r="N11">
        <f t="shared" ref="N11:N74" si="5">G11/101.3</f>
        <v>1.3006391909749999</v>
      </c>
      <c r="S11">
        <f t="shared" ref="S11:S74" si="6">(B11-J11)/G11</f>
        <v>4.5357681729758497</v>
      </c>
    </row>
    <row r="12" spans="1:20" x14ac:dyDescent="0.25">
      <c r="A12">
        <v>13.3</v>
      </c>
      <c r="B12">
        <v>824.37764271844605</v>
      </c>
      <c r="F12">
        <f t="shared" si="3"/>
        <v>110.36250000000001</v>
      </c>
      <c r="G12">
        <f t="shared" si="4"/>
        <v>132.17750004537498</v>
      </c>
      <c r="J12" s="1">
        <f t="shared" si="2"/>
        <v>242.540000045375</v>
      </c>
      <c r="N12">
        <f t="shared" si="5"/>
        <v>1.30481243875</v>
      </c>
      <c r="S12">
        <f t="shared" si="6"/>
        <v>4.4019416502304329</v>
      </c>
    </row>
    <row r="13" spans="1:20" x14ac:dyDescent="0.25">
      <c r="A13">
        <v>13.35</v>
      </c>
      <c r="B13">
        <v>809.51953349514599</v>
      </c>
      <c r="F13">
        <f t="shared" si="3"/>
        <v>110.85300000000001</v>
      </c>
      <c r="G13">
        <f t="shared" si="4"/>
        <v>132.60025004498249</v>
      </c>
      <c r="J13" s="1">
        <f t="shared" si="2"/>
        <v>243.4532500449825</v>
      </c>
      <c r="N13">
        <f t="shared" si="5"/>
        <v>1.308985686525</v>
      </c>
      <c r="S13">
        <f t="shared" si="6"/>
        <v>4.2689684465763422</v>
      </c>
    </row>
    <row r="14" spans="1:20" x14ac:dyDescent="0.25">
      <c r="A14">
        <v>13.4</v>
      </c>
      <c r="B14">
        <v>803.51929184861694</v>
      </c>
      <c r="F14">
        <f t="shared" si="3"/>
        <v>111.34350000000002</v>
      </c>
      <c r="G14">
        <f t="shared" si="4"/>
        <v>133.02300004458999</v>
      </c>
      <c r="J14" s="1">
        <f t="shared" si="2"/>
        <v>244.36650004459</v>
      </c>
      <c r="N14">
        <f t="shared" si="5"/>
        <v>1.3131589342999999</v>
      </c>
      <c r="S14">
        <f t="shared" si="6"/>
        <v>4.2034294190974197</v>
      </c>
    </row>
    <row r="15" spans="1:20" x14ac:dyDescent="0.25">
      <c r="A15">
        <v>13.45</v>
      </c>
      <c r="B15">
        <v>797.81187227074304</v>
      </c>
      <c r="F15">
        <f t="shared" si="3"/>
        <v>111.83399999999999</v>
      </c>
      <c r="G15">
        <f t="shared" si="4"/>
        <v>133.4457500441975</v>
      </c>
      <c r="J15" s="1">
        <f t="shared" si="2"/>
        <v>245.2797500441975</v>
      </c>
      <c r="N15">
        <f t="shared" si="5"/>
        <v>1.3173321820749999</v>
      </c>
      <c r="S15">
        <f t="shared" si="6"/>
        <v>4.1404999563009373</v>
      </c>
    </row>
    <row r="16" spans="1:20" x14ac:dyDescent="0.25">
      <c r="A16">
        <v>13.5</v>
      </c>
      <c r="B16">
        <v>792.10445269286697</v>
      </c>
      <c r="F16">
        <f t="shared" si="3"/>
        <v>112.3245</v>
      </c>
      <c r="G16">
        <f t="shared" si="4"/>
        <v>133.868500043805</v>
      </c>
      <c r="J16" s="1">
        <f t="shared" si="2"/>
        <v>246.193000043805</v>
      </c>
      <c r="N16">
        <f t="shared" si="5"/>
        <v>1.32150542985</v>
      </c>
      <c r="S16">
        <f t="shared" si="6"/>
        <v>4.0779679496702101</v>
      </c>
    </row>
    <row r="17" spans="1:19" x14ac:dyDescent="0.25">
      <c r="A17">
        <v>13.55</v>
      </c>
      <c r="B17">
        <v>786.39703311499295</v>
      </c>
      <c r="F17">
        <f t="shared" si="3"/>
        <v>112.81500000000001</v>
      </c>
      <c r="G17">
        <f t="shared" si="4"/>
        <v>134.2912500434125</v>
      </c>
      <c r="J17" s="1">
        <f t="shared" si="2"/>
        <v>247.1062500434125</v>
      </c>
      <c r="N17">
        <f t="shared" si="5"/>
        <v>1.325678677625</v>
      </c>
      <c r="S17">
        <f t="shared" si="6"/>
        <v>4.0158296456190801</v>
      </c>
    </row>
    <row r="18" spans="1:19" x14ac:dyDescent="0.25">
      <c r="A18">
        <v>13.6</v>
      </c>
      <c r="B18">
        <v>780.68961353711802</v>
      </c>
      <c r="F18">
        <f t="shared" si="3"/>
        <v>113.30550000000001</v>
      </c>
      <c r="G18">
        <f t="shared" si="4"/>
        <v>134.71400004302001</v>
      </c>
      <c r="J18" s="1">
        <f t="shared" si="2"/>
        <v>248.01950004302</v>
      </c>
      <c r="N18">
        <f t="shared" si="5"/>
        <v>1.3298519254000001</v>
      </c>
      <c r="S18">
        <f t="shared" si="6"/>
        <v>3.954081337678292</v>
      </c>
    </row>
    <row r="19" spans="1:19" x14ac:dyDescent="0.25">
      <c r="A19">
        <v>13.65</v>
      </c>
      <c r="B19">
        <v>784.80680048543695</v>
      </c>
      <c r="F19">
        <f t="shared" si="3"/>
        <v>113.79600000000002</v>
      </c>
      <c r="G19">
        <f t="shared" si="4"/>
        <v>135.13675004262748</v>
      </c>
      <c r="J19" s="1">
        <f t="shared" si="2"/>
        <v>248.9327500426275</v>
      </c>
      <c r="N19">
        <f t="shared" si="5"/>
        <v>1.3340251731749999</v>
      </c>
      <c r="S19">
        <f t="shared" si="6"/>
        <v>3.9654205852499307</v>
      </c>
    </row>
    <row r="20" spans="1:19" x14ac:dyDescent="0.25">
      <c r="A20">
        <v>13.7</v>
      </c>
      <c r="B20">
        <v>799.91422524271798</v>
      </c>
      <c r="F20">
        <f t="shared" si="3"/>
        <v>114.28649999999999</v>
      </c>
      <c r="G20">
        <f t="shared" si="4"/>
        <v>135.55950004223499</v>
      </c>
      <c r="J20" s="1">
        <f t="shared" si="2"/>
        <v>249.84600004223498</v>
      </c>
      <c r="N20">
        <f t="shared" si="5"/>
        <v>1.33819842095</v>
      </c>
      <c r="S20">
        <f t="shared" si="6"/>
        <v>4.0577622743452393</v>
      </c>
    </row>
    <row r="21" spans="1:19" x14ac:dyDescent="0.25">
      <c r="A21">
        <v>13.75</v>
      </c>
      <c r="B21">
        <v>815.02165000000002</v>
      </c>
      <c r="F21">
        <f t="shared" si="3"/>
        <v>114.777</v>
      </c>
      <c r="G21">
        <f t="shared" si="4"/>
        <v>135.98225004184246</v>
      </c>
      <c r="J21" s="1">
        <f t="shared" si="2"/>
        <v>250.75925004184245</v>
      </c>
      <c r="N21">
        <f t="shared" si="5"/>
        <v>1.3423716687249996</v>
      </c>
      <c r="S21">
        <f t="shared" si="6"/>
        <v>4.1495298083722769</v>
      </c>
    </row>
    <row r="22" spans="1:19" x14ac:dyDescent="0.25">
      <c r="A22">
        <v>13.8</v>
      </c>
      <c r="B22">
        <v>828.74115242718506</v>
      </c>
      <c r="F22">
        <f>(A22-2.05)*9.81</f>
        <v>115.26750000000001</v>
      </c>
      <c r="G22">
        <f t="shared" si="4"/>
        <v>136.40500004144999</v>
      </c>
      <c r="J22" s="1">
        <f t="shared" si="2"/>
        <v>251.67250004145001</v>
      </c>
      <c r="N22">
        <f t="shared" si="5"/>
        <v>1.3465449165000001</v>
      </c>
      <c r="S22">
        <f t="shared" si="6"/>
        <v>4.2305535149765667</v>
      </c>
    </row>
    <row r="23" spans="1:19" x14ac:dyDescent="0.25">
      <c r="A23">
        <v>13.85</v>
      </c>
      <c r="B23">
        <v>835.96265485436902</v>
      </c>
      <c r="F23">
        <f t="shared" ref="F23:F38" si="7">(A23-2.05)*9.81</f>
        <v>115.75800000000001</v>
      </c>
      <c r="G23">
        <f t="shared" si="4"/>
        <v>136.82775004105747</v>
      </c>
      <c r="J23" s="1">
        <f t="shared" si="2"/>
        <v>252.58575004105748</v>
      </c>
      <c r="N23">
        <f t="shared" si="5"/>
        <v>1.3507181642749997</v>
      </c>
      <c r="S23">
        <f t="shared" si="6"/>
        <v>4.2635861850995829</v>
      </c>
    </row>
    <row r="24" spans="1:19" x14ac:dyDescent="0.25">
      <c r="A24">
        <v>13.9</v>
      </c>
      <c r="B24">
        <v>843.18415728155401</v>
      </c>
      <c r="F24">
        <f t="shared" si="7"/>
        <v>116.24850000000002</v>
      </c>
      <c r="G24">
        <f t="shared" si="4"/>
        <v>137.25050004066497</v>
      </c>
      <c r="J24" s="1">
        <f t="shared" si="2"/>
        <v>253.49900004066501</v>
      </c>
      <c r="N24">
        <f t="shared" si="5"/>
        <v>1.3548914120499997</v>
      </c>
      <c r="S24">
        <f t="shared" si="6"/>
        <v>4.2964153650892012</v>
      </c>
    </row>
    <row r="25" spans="1:19" x14ac:dyDescent="0.25">
      <c r="A25">
        <v>13.95</v>
      </c>
      <c r="B25">
        <v>850.40565970873797</v>
      </c>
      <c r="F25">
        <f t="shared" si="7"/>
        <v>116.73899999999999</v>
      </c>
      <c r="G25">
        <f t="shared" si="4"/>
        <v>137.67325004027248</v>
      </c>
      <c r="J25" s="1">
        <f t="shared" si="2"/>
        <v>254.41225004027245</v>
      </c>
      <c r="N25">
        <f t="shared" si="5"/>
        <v>1.3590646598249998</v>
      </c>
      <c r="S25">
        <f t="shared" si="6"/>
        <v>4.3290429295024584</v>
      </c>
    </row>
    <row r="26" spans="1:19" x14ac:dyDescent="0.25">
      <c r="A26">
        <v>14</v>
      </c>
      <c r="B26">
        <v>899.94277534122</v>
      </c>
      <c r="F26">
        <f t="shared" si="7"/>
        <v>117.2295</v>
      </c>
      <c r="G26">
        <f t="shared" si="4"/>
        <v>138.09600003987998</v>
      </c>
      <c r="J26" s="1">
        <f t="shared" si="2"/>
        <v>255.32550003987998</v>
      </c>
      <c r="N26">
        <f t="shared" si="5"/>
        <v>1.3632379075999999</v>
      </c>
      <c r="S26">
        <f t="shared" si="6"/>
        <v>4.6678924452206036</v>
      </c>
    </row>
    <row r="27" spans="1:19" x14ac:dyDescent="0.25">
      <c r="A27">
        <v>14.05</v>
      </c>
      <c r="B27">
        <v>955.25020186533402</v>
      </c>
      <c r="F27">
        <f t="shared" si="7"/>
        <v>117.72</v>
      </c>
      <c r="G27">
        <f t="shared" si="4"/>
        <v>138.51875003948749</v>
      </c>
      <c r="J27" s="1">
        <f t="shared" si="2"/>
        <v>256.23875003948751</v>
      </c>
      <c r="N27">
        <f t="shared" si="5"/>
        <v>1.3674111553749999</v>
      </c>
      <c r="S27">
        <f t="shared" si="6"/>
        <v>5.0463309236228282</v>
      </c>
    </row>
    <row r="28" spans="1:19" x14ac:dyDescent="0.25">
      <c r="A28">
        <v>14.1</v>
      </c>
      <c r="B28">
        <v>950.88705494238798</v>
      </c>
      <c r="F28">
        <f t="shared" si="7"/>
        <v>118.21050000000001</v>
      </c>
      <c r="G28">
        <f t="shared" si="4"/>
        <v>138.94150003909499</v>
      </c>
      <c r="J28" s="1">
        <f t="shared" si="2"/>
        <v>257.15200003909501</v>
      </c>
      <c r="N28">
        <f t="shared" si="5"/>
        <v>1.37158440315</v>
      </c>
      <c r="S28">
        <f t="shared" si="6"/>
        <v>4.9930010451023747</v>
      </c>
    </row>
    <row r="29" spans="1:19" x14ac:dyDescent="0.25">
      <c r="A29">
        <v>14.15</v>
      </c>
      <c r="B29">
        <v>918.70097201334102</v>
      </c>
      <c r="F29">
        <f t="shared" si="7"/>
        <v>118.70100000000002</v>
      </c>
      <c r="G29">
        <f t="shared" si="4"/>
        <v>139.36425003870249</v>
      </c>
      <c r="J29" s="1">
        <f t="shared" si="2"/>
        <v>258.06525003870252</v>
      </c>
      <c r="N29">
        <f t="shared" si="5"/>
        <v>1.375757650925</v>
      </c>
      <c r="S29">
        <f t="shared" si="6"/>
        <v>4.7403528651800944</v>
      </c>
    </row>
    <row r="30" spans="1:19" x14ac:dyDescent="0.25">
      <c r="A30">
        <v>14.2</v>
      </c>
      <c r="B30">
        <v>886.51488908429405</v>
      </c>
      <c r="F30">
        <f t="shared" si="7"/>
        <v>119.19149999999999</v>
      </c>
      <c r="G30">
        <f t="shared" si="4"/>
        <v>139.78700003831</v>
      </c>
      <c r="J30" s="1">
        <f t="shared" si="2"/>
        <v>258.97850003831002</v>
      </c>
      <c r="N30">
        <f t="shared" si="5"/>
        <v>1.3799308987000001</v>
      </c>
      <c r="S30">
        <f t="shared" si="6"/>
        <v>4.4892328247548168</v>
      </c>
    </row>
    <row r="31" spans="1:19" x14ac:dyDescent="0.25">
      <c r="A31">
        <v>14.25</v>
      </c>
      <c r="B31">
        <v>887.92631378525903</v>
      </c>
      <c r="F31">
        <f t="shared" si="7"/>
        <v>119.682</v>
      </c>
      <c r="G31">
        <f t="shared" si="4"/>
        <v>140.20975003791747</v>
      </c>
      <c r="J31" s="1">
        <f t="shared" si="2"/>
        <v>259.89175003791746</v>
      </c>
      <c r="N31">
        <f t="shared" si="5"/>
        <v>1.3841041464749997</v>
      </c>
      <c r="S31">
        <f t="shared" si="6"/>
        <v>4.4792502916344947</v>
      </c>
    </row>
    <row r="32" spans="1:19" x14ac:dyDescent="0.25">
      <c r="A32">
        <v>14.3</v>
      </c>
      <c r="B32">
        <v>943.23374030937305</v>
      </c>
      <c r="F32">
        <f t="shared" si="7"/>
        <v>120.1725</v>
      </c>
      <c r="G32">
        <f t="shared" si="4"/>
        <v>140.63250003752501</v>
      </c>
      <c r="J32" s="1">
        <f t="shared" si="2"/>
        <v>260.80500003752502</v>
      </c>
      <c r="N32">
        <f t="shared" si="5"/>
        <v>1.3882773942500002</v>
      </c>
      <c r="S32">
        <f t="shared" si="6"/>
        <v>4.8525677925782116</v>
      </c>
    </row>
    <row r="33" spans="1:19" x14ac:dyDescent="0.25">
      <c r="A33">
        <v>14.35</v>
      </c>
      <c r="B33">
        <v>982.04265309512903</v>
      </c>
      <c r="F33">
        <f t="shared" si="7"/>
        <v>120.66300000000001</v>
      </c>
      <c r="G33">
        <f t="shared" si="4"/>
        <v>141.05525003713248</v>
      </c>
      <c r="J33" s="1">
        <f t="shared" si="2"/>
        <v>261.71825003713252</v>
      </c>
      <c r="N33">
        <f t="shared" si="5"/>
        <v>1.3924506420249998</v>
      </c>
      <c r="S33">
        <f t="shared" si="6"/>
        <v>5.1066826854610001</v>
      </c>
    </row>
    <row r="34" spans="1:19" x14ac:dyDescent="0.25">
      <c r="A34">
        <v>14.4</v>
      </c>
      <c r="B34">
        <v>948.64839285389098</v>
      </c>
      <c r="F34">
        <f t="shared" si="7"/>
        <v>121.15350000000002</v>
      </c>
      <c r="G34">
        <f t="shared" si="4"/>
        <v>141.47800003673999</v>
      </c>
      <c r="J34" s="1">
        <f t="shared" si="2"/>
        <v>262.63150003674002</v>
      </c>
      <c r="N34">
        <f t="shared" si="5"/>
        <v>1.3966238897999999</v>
      </c>
      <c r="S34">
        <f t="shared" si="6"/>
        <v>4.848929816925609</v>
      </c>
    </row>
    <row r="35" spans="1:19" x14ac:dyDescent="0.25">
      <c r="A35">
        <v>14.45</v>
      </c>
      <c r="B35">
        <v>915.25413261265396</v>
      </c>
      <c r="F35">
        <f t="shared" si="7"/>
        <v>121.64399999999999</v>
      </c>
      <c r="G35">
        <f t="shared" si="4"/>
        <v>141.90075003634746</v>
      </c>
      <c r="J35" s="1">
        <f t="shared" si="2"/>
        <v>263.54475003634747</v>
      </c>
      <c r="N35">
        <f t="shared" si="5"/>
        <v>1.4007971375749997</v>
      </c>
      <c r="S35">
        <f t="shared" si="6"/>
        <v>4.5927127404849735</v>
      </c>
    </row>
    <row r="36" spans="1:19" x14ac:dyDescent="0.25">
      <c r="A36">
        <v>14.5</v>
      </c>
      <c r="B36">
        <v>881.85987237141501</v>
      </c>
      <c r="F36">
        <f t="shared" si="7"/>
        <v>122.1345</v>
      </c>
      <c r="G36">
        <f t="shared" si="4"/>
        <v>142.32350003595499</v>
      </c>
      <c r="J36" s="1">
        <f t="shared" si="2"/>
        <v>264.45800003595502</v>
      </c>
      <c r="N36">
        <f t="shared" si="5"/>
        <v>1.40497038535</v>
      </c>
      <c r="S36">
        <f t="shared" si="6"/>
        <v>4.3380177706386265</v>
      </c>
    </row>
    <row r="37" spans="1:19" x14ac:dyDescent="0.25">
      <c r="A37">
        <v>14.55</v>
      </c>
      <c r="B37">
        <v>848.46561213017696</v>
      </c>
      <c r="F37">
        <f t="shared" si="7"/>
        <v>122.625</v>
      </c>
      <c r="G37">
        <f t="shared" si="4"/>
        <v>142.74625003556247</v>
      </c>
      <c r="J37" s="1">
        <f t="shared" si="2"/>
        <v>265.37125003556247</v>
      </c>
      <c r="N37">
        <f t="shared" si="5"/>
        <v>1.4091436331249998</v>
      </c>
      <c r="S37">
        <f t="shared" si="6"/>
        <v>4.0848313840072707</v>
      </c>
    </row>
    <row r="38" spans="1:19" x14ac:dyDescent="0.25">
      <c r="A38">
        <v>14.6</v>
      </c>
      <c r="B38">
        <v>845.05259026387603</v>
      </c>
      <c r="F38">
        <f t="shared" si="7"/>
        <v>123.11550000000001</v>
      </c>
      <c r="G38">
        <f t="shared" si="4"/>
        <v>143.16900003516997</v>
      </c>
      <c r="J38" s="1">
        <f t="shared" si="2"/>
        <v>266.28450003516997</v>
      </c>
      <c r="N38">
        <f t="shared" si="5"/>
        <v>1.4133168808999999</v>
      </c>
      <c r="S38">
        <f t="shared" si="6"/>
        <v>4.0425517401569451</v>
      </c>
    </row>
    <row r="39" spans="1:19" x14ac:dyDescent="0.25">
      <c r="A39">
        <v>14.65</v>
      </c>
      <c r="B39">
        <v>849.51342898089194</v>
      </c>
      <c r="F39">
        <f>(A39-2.05)*9.81</f>
        <v>123.60600000000002</v>
      </c>
      <c r="G39">
        <f t="shared" si="4"/>
        <v>143.59175003477748</v>
      </c>
      <c r="J39" s="1">
        <f t="shared" si="2"/>
        <v>267.19775003477753</v>
      </c>
      <c r="N39">
        <f t="shared" si="5"/>
        <v>1.4174901286749999</v>
      </c>
      <c r="S39">
        <f t="shared" si="6"/>
        <v>4.0553560967470581</v>
      </c>
    </row>
    <row r="40" spans="1:19" x14ac:dyDescent="0.25">
      <c r="A40">
        <v>14.7</v>
      </c>
      <c r="B40">
        <v>853.97426769790695</v>
      </c>
      <c r="F40">
        <f t="shared" ref="F40:F41" si="8">(A40-2.05)*9.81</f>
        <v>124.09649999999999</v>
      </c>
      <c r="G40">
        <f t="shared" si="4"/>
        <v>144.01450003438495</v>
      </c>
      <c r="J40" s="1">
        <f t="shared" si="2"/>
        <v>268.11100003438492</v>
      </c>
      <c r="N40">
        <f t="shared" si="5"/>
        <v>1.4216633764499995</v>
      </c>
      <c r="S40">
        <f t="shared" si="6"/>
        <v>4.0680852797714193</v>
      </c>
    </row>
    <row r="41" spans="1:19" x14ac:dyDescent="0.25">
      <c r="A41">
        <v>14.75</v>
      </c>
      <c r="B41">
        <v>858.43510641492298</v>
      </c>
      <c r="F41">
        <f t="shared" si="8"/>
        <v>124.587</v>
      </c>
      <c r="G41">
        <f t="shared" si="4"/>
        <v>144.43725003399248</v>
      </c>
      <c r="J41" s="1">
        <f t="shared" si="2"/>
        <v>269.02425003399247</v>
      </c>
      <c r="N41">
        <f t="shared" si="5"/>
        <v>1.4258366242249998</v>
      </c>
      <c r="S41">
        <f t="shared" si="6"/>
        <v>4.0807399493012779</v>
      </c>
    </row>
    <row r="42" spans="1:19" x14ac:dyDescent="0.25">
      <c r="A42">
        <v>14.8</v>
      </c>
      <c r="B42">
        <v>881.15806706096498</v>
      </c>
      <c r="C42" s="1">
        <v>32.83</v>
      </c>
      <c r="D42" s="1">
        <v>20</v>
      </c>
      <c r="E42" s="1">
        <v>38.299999999150003</v>
      </c>
      <c r="F42">
        <f>(A42-2.05)*9.81</f>
        <v>125.0775</v>
      </c>
      <c r="G42" s="1">
        <v>144.86000003359999</v>
      </c>
      <c r="H42" s="2"/>
      <c r="I42" s="1">
        <v>52.859499334800702</v>
      </c>
      <c r="J42" s="1">
        <f t="shared" si="2"/>
        <v>269.93750003359997</v>
      </c>
      <c r="K42">
        <f>C42</f>
        <v>32.83</v>
      </c>
      <c r="L42">
        <f>C42-D42</f>
        <v>12.829999999999998</v>
      </c>
      <c r="M42">
        <f>(E42-D42)/L42</f>
        <v>1.4263445050000005</v>
      </c>
      <c r="N42">
        <f t="shared" si="5"/>
        <v>1.4300098719999998</v>
      </c>
      <c r="P42">
        <f>I42/G42</f>
        <v>0.36490058900000033</v>
      </c>
      <c r="S42">
        <f t="shared" si="6"/>
        <v>4.2193881463868115</v>
      </c>
    </row>
    <row r="43" spans="1:19" x14ac:dyDescent="0.25">
      <c r="A43">
        <v>14.85</v>
      </c>
      <c r="B43">
        <v>931.72608689572405</v>
      </c>
      <c r="F43">
        <f>(A43-2.05)*9.81</f>
        <v>125.56800000000001</v>
      </c>
      <c r="G43">
        <f>($G$42*($A$68-A43)+$G$68*(A43-$A$42))/($A$68-$A$42)</f>
        <v>145.27346157068459</v>
      </c>
      <c r="J43" s="1">
        <f t="shared" si="2"/>
        <v>270.8414615706846</v>
      </c>
      <c r="N43">
        <f t="shared" si="5"/>
        <v>1.4340914271538459</v>
      </c>
      <c r="S43">
        <f t="shared" si="6"/>
        <v>4.5492453898985392</v>
      </c>
    </row>
    <row r="44" spans="1:19" x14ac:dyDescent="0.25">
      <c r="A44">
        <v>14.9</v>
      </c>
      <c r="B44">
        <v>967.15201242038802</v>
      </c>
      <c r="F44">
        <f t="shared" ref="F44:F64" si="9">(A44-2.05)*9.81</f>
        <v>126.05850000000002</v>
      </c>
      <c r="G44">
        <f t="shared" ref="G44:G67" si="10">($G$42*($A$68-A44)+$G$68*(A44-$A$42))/($A$68-$A$42)</f>
        <v>145.68692310776922</v>
      </c>
      <c r="J44" s="1">
        <f t="shared" si="2"/>
        <v>271.74542310776923</v>
      </c>
      <c r="N44">
        <f t="shared" si="5"/>
        <v>1.4381729823076923</v>
      </c>
      <c r="S44">
        <f t="shared" si="6"/>
        <v>4.773294503571913</v>
      </c>
    </row>
    <row r="45" spans="1:19" x14ac:dyDescent="0.25">
      <c r="A45">
        <v>14.95</v>
      </c>
      <c r="B45">
        <v>941.24480887184495</v>
      </c>
      <c r="F45">
        <f t="shared" si="9"/>
        <v>126.54899999999999</v>
      </c>
      <c r="G45">
        <f t="shared" si="10"/>
        <v>146.10038464485382</v>
      </c>
      <c r="J45" s="1">
        <f t="shared" si="2"/>
        <v>272.6493846448538</v>
      </c>
      <c r="N45">
        <f t="shared" si="5"/>
        <v>1.4422545374615383</v>
      </c>
      <c r="S45">
        <f t="shared" si="6"/>
        <v>4.5762742230435425</v>
      </c>
    </row>
    <row r="46" spans="1:19" x14ac:dyDescent="0.25">
      <c r="A46">
        <v>15</v>
      </c>
      <c r="B46">
        <v>915.33760542330106</v>
      </c>
      <c r="F46">
        <f t="shared" si="9"/>
        <v>127.0395</v>
      </c>
      <c r="G46">
        <f t="shared" si="10"/>
        <v>146.51384618193845</v>
      </c>
      <c r="J46" s="1">
        <f t="shared" si="2"/>
        <v>273.55334618193842</v>
      </c>
      <c r="N46">
        <f t="shared" si="5"/>
        <v>1.4463360926153845</v>
      </c>
      <c r="S46">
        <f t="shared" si="6"/>
        <v>4.3803659242171946</v>
      </c>
    </row>
    <row r="47" spans="1:19" x14ac:dyDescent="0.25">
      <c r="A47">
        <v>15.05</v>
      </c>
      <c r="B47">
        <v>889.43040187475697</v>
      </c>
      <c r="F47">
        <f t="shared" si="9"/>
        <v>127.53</v>
      </c>
      <c r="G47">
        <f t="shared" si="10"/>
        <v>146.92730771902308</v>
      </c>
      <c r="J47" s="1">
        <f t="shared" si="2"/>
        <v>274.45730771902311</v>
      </c>
      <c r="N47">
        <f t="shared" si="5"/>
        <v>1.4504176477692308</v>
      </c>
      <c r="S47">
        <f t="shared" si="6"/>
        <v>4.1855602181983738</v>
      </c>
    </row>
    <row r="48" spans="1:19" x14ac:dyDescent="0.25">
      <c r="A48">
        <v>15.1</v>
      </c>
      <c r="B48">
        <v>1011.43205073768</v>
      </c>
      <c r="F48">
        <f t="shared" si="9"/>
        <v>128.02050000000003</v>
      </c>
      <c r="G48">
        <f t="shared" si="10"/>
        <v>147.34076925610768</v>
      </c>
      <c r="J48" s="1">
        <f t="shared" si="2"/>
        <v>275.36126925610768</v>
      </c>
      <c r="N48">
        <f t="shared" si="5"/>
        <v>1.4544992029230768</v>
      </c>
      <c r="S48">
        <f t="shared" si="6"/>
        <v>4.9957033969473468</v>
      </c>
    </row>
    <row r="49" spans="1:19" x14ac:dyDescent="0.25">
      <c r="A49">
        <v>15.15</v>
      </c>
      <c r="B49">
        <v>1149.5036191530501</v>
      </c>
      <c r="F49">
        <f t="shared" si="9"/>
        <v>128.51100000000002</v>
      </c>
      <c r="G49">
        <f t="shared" si="10"/>
        <v>147.75423079319231</v>
      </c>
      <c r="J49" s="1">
        <f t="shared" si="2"/>
        <v>276.26523079319236</v>
      </c>
      <c r="N49">
        <f t="shared" si="5"/>
        <v>1.458580758076923</v>
      </c>
      <c r="S49">
        <f t="shared" si="6"/>
        <v>5.9100736653836083</v>
      </c>
    </row>
    <row r="50" spans="1:19" x14ac:dyDescent="0.25">
      <c r="A50">
        <v>15.2</v>
      </c>
      <c r="B50">
        <v>1119.9937366299</v>
      </c>
      <c r="F50">
        <f t="shared" si="9"/>
        <v>129.00149999999999</v>
      </c>
      <c r="G50">
        <f t="shared" si="10"/>
        <v>148.16769233027691</v>
      </c>
      <c r="J50" s="1">
        <f t="shared" si="2"/>
        <v>277.16919233027693</v>
      </c>
      <c r="N50">
        <f t="shared" si="5"/>
        <v>1.462662313230769</v>
      </c>
      <c r="S50">
        <f t="shared" si="6"/>
        <v>5.6883152531045971</v>
      </c>
    </row>
    <row r="51" spans="1:19" x14ac:dyDescent="0.25">
      <c r="A51">
        <v>15.25</v>
      </c>
      <c r="B51">
        <v>1020.02347142577</v>
      </c>
      <c r="F51">
        <f t="shared" si="9"/>
        <v>129.49199999999999</v>
      </c>
      <c r="G51">
        <f t="shared" si="10"/>
        <v>148.58115386736154</v>
      </c>
      <c r="J51" s="1">
        <f t="shared" si="2"/>
        <v>278.0731538673615</v>
      </c>
      <c r="N51">
        <f t="shared" si="5"/>
        <v>1.4667438683846155</v>
      </c>
      <c r="S51">
        <f t="shared" si="6"/>
        <v>4.9935694955010774</v>
      </c>
    </row>
    <row r="52" spans="1:19" x14ac:dyDescent="0.25">
      <c r="A52">
        <v>15.3</v>
      </c>
      <c r="B52">
        <v>920.05320612164905</v>
      </c>
      <c r="F52">
        <f t="shared" si="9"/>
        <v>129.98250000000002</v>
      </c>
      <c r="G52">
        <f t="shared" si="10"/>
        <v>148.99461540444614</v>
      </c>
      <c r="J52" s="1">
        <f t="shared" si="2"/>
        <v>278.97711540444618</v>
      </c>
      <c r="N52">
        <f t="shared" si="5"/>
        <v>1.4708254235384615</v>
      </c>
      <c r="S52">
        <f t="shared" si="6"/>
        <v>4.3026795899771324</v>
      </c>
    </row>
    <row r="53" spans="1:19" x14ac:dyDescent="0.25">
      <c r="A53">
        <v>15.35</v>
      </c>
      <c r="B53">
        <v>860.65372138489295</v>
      </c>
      <c r="F53">
        <f t="shared" si="9"/>
        <v>130.47300000000001</v>
      </c>
      <c r="G53">
        <f t="shared" si="10"/>
        <v>149.40807694153077</v>
      </c>
      <c r="J53" s="1">
        <f t="shared" si="2"/>
        <v>279.88107694153075</v>
      </c>
      <c r="N53">
        <f t="shared" si="5"/>
        <v>1.4749069786923077</v>
      </c>
      <c r="S53">
        <f t="shared" si="6"/>
        <v>3.8871569484870707</v>
      </c>
    </row>
    <row r="54" spans="1:19" x14ac:dyDescent="0.25">
      <c r="A54">
        <v>15.4</v>
      </c>
      <c r="B54">
        <v>860.61148713487398</v>
      </c>
      <c r="F54">
        <f t="shared" si="9"/>
        <v>130.96350000000001</v>
      </c>
      <c r="G54">
        <f t="shared" si="10"/>
        <v>149.82153847861539</v>
      </c>
      <c r="J54" s="1">
        <f t="shared" si="2"/>
        <v>280.78503847861543</v>
      </c>
      <c r="N54">
        <f t="shared" si="5"/>
        <v>1.4789885338461539</v>
      </c>
      <c r="S54">
        <f t="shared" si="6"/>
        <v>3.8701141007106892</v>
      </c>
    </row>
    <row r="55" spans="1:19" x14ac:dyDescent="0.25">
      <c r="A55">
        <v>15.45</v>
      </c>
      <c r="B55">
        <v>860.56925278485596</v>
      </c>
      <c r="F55">
        <f t="shared" si="9"/>
        <v>131.45399999999998</v>
      </c>
      <c r="G55">
        <f t="shared" si="10"/>
        <v>150.23500001569997</v>
      </c>
      <c r="J55" s="1">
        <f t="shared" si="2"/>
        <v>281.68900001569995</v>
      </c>
      <c r="N55">
        <f t="shared" si="5"/>
        <v>1.4830700889999997</v>
      </c>
      <c r="S55">
        <f t="shared" si="6"/>
        <v>3.8531650594645814</v>
      </c>
    </row>
    <row r="56" spans="1:19" x14ac:dyDescent="0.25">
      <c r="A56">
        <v>15.5</v>
      </c>
      <c r="B56">
        <v>860.52701853483802</v>
      </c>
      <c r="F56">
        <f t="shared" si="9"/>
        <v>131.94450000000001</v>
      </c>
      <c r="G56">
        <f t="shared" si="10"/>
        <v>150.64846155278462</v>
      </c>
      <c r="J56" s="1">
        <f t="shared" si="2"/>
        <v>282.59296155278463</v>
      </c>
      <c r="N56">
        <f t="shared" si="5"/>
        <v>1.4871516441538464</v>
      </c>
      <c r="S56">
        <f t="shared" si="6"/>
        <v>3.8363090537074962</v>
      </c>
    </row>
    <row r="57" spans="1:19" x14ac:dyDescent="0.25">
      <c r="A57">
        <v>15.55</v>
      </c>
      <c r="B57">
        <v>860.48478418482</v>
      </c>
      <c r="F57">
        <f t="shared" si="9"/>
        <v>132.435</v>
      </c>
      <c r="G57">
        <f t="shared" si="10"/>
        <v>151.06192308986923</v>
      </c>
      <c r="J57" s="1">
        <f t="shared" si="2"/>
        <v>283.49692308986926</v>
      </c>
      <c r="N57">
        <f t="shared" si="5"/>
        <v>1.4912331993076924</v>
      </c>
      <c r="S57">
        <f t="shared" si="6"/>
        <v>3.8195453181917403</v>
      </c>
    </row>
    <row r="58" spans="1:19" x14ac:dyDescent="0.25">
      <c r="A58">
        <v>15.6</v>
      </c>
      <c r="B58">
        <v>860.44254983480198</v>
      </c>
      <c r="F58">
        <f t="shared" si="9"/>
        <v>132.9255</v>
      </c>
      <c r="G58">
        <f t="shared" si="10"/>
        <v>151.47538462695383</v>
      </c>
      <c r="J58" s="1">
        <f t="shared" si="2"/>
        <v>284.40088462695383</v>
      </c>
      <c r="N58">
        <f t="shared" si="5"/>
        <v>1.4953147544615384</v>
      </c>
      <c r="S58">
        <f t="shared" si="6"/>
        <v>3.8028730980052989</v>
      </c>
    </row>
    <row r="59" spans="1:19" x14ac:dyDescent="0.25">
      <c r="A59">
        <v>15.65</v>
      </c>
      <c r="B59">
        <v>945.38035047661594</v>
      </c>
      <c r="F59">
        <f t="shared" si="9"/>
        <v>133.41600000000003</v>
      </c>
      <c r="G59">
        <f t="shared" si="10"/>
        <v>151.88884616403845</v>
      </c>
      <c r="J59" s="1">
        <f t="shared" si="2"/>
        <v>285.30484616403851</v>
      </c>
      <c r="N59">
        <f t="shared" si="5"/>
        <v>1.4993963096153846</v>
      </c>
      <c r="S59">
        <f t="shared" si="6"/>
        <v>4.3457799633272769</v>
      </c>
    </row>
    <row r="60" spans="1:19" x14ac:dyDescent="0.25">
      <c r="A60">
        <v>15.7</v>
      </c>
      <c r="B60">
        <v>1038.5179789465899</v>
      </c>
      <c r="F60">
        <f t="shared" si="9"/>
        <v>133.90649999999999</v>
      </c>
      <c r="G60">
        <f t="shared" si="10"/>
        <v>152.30230770112306</v>
      </c>
      <c r="J60" s="1">
        <f t="shared" si="2"/>
        <v>286.20880770112308</v>
      </c>
      <c r="N60">
        <f t="shared" si="5"/>
        <v>1.5034778647692306</v>
      </c>
      <c r="S60">
        <f t="shared" si="6"/>
        <v>4.9395782808609363</v>
      </c>
    </row>
    <row r="61" spans="1:19" x14ac:dyDescent="0.25">
      <c r="A61">
        <v>15.75</v>
      </c>
      <c r="B61">
        <v>944.112279582513</v>
      </c>
      <c r="F61">
        <f t="shared" si="9"/>
        <v>134.39699999999999</v>
      </c>
      <c r="G61">
        <f t="shared" si="10"/>
        <v>152.71576923820768</v>
      </c>
      <c r="J61" s="1">
        <f t="shared" si="2"/>
        <v>287.11276923820765</v>
      </c>
      <c r="N61">
        <f t="shared" si="5"/>
        <v>1.5075594199230768</v>
      </c>
      <c r="S61">
        <f t="shared" si="6"/>
        <v>4.3021065448683986</v>
      </c>
    </row>
    <row r="62" spans="1:19" x14ac:dyDescent="0.25">
      <c r="A62">
        <v>15.8</v>
      </c>
      <c r="B62">
        <v>881.026983029299</v>
      </c>
      <c r="F62">
        <f t="shared" si="9"/>
        <v>134.88750000000002</v>
      </c>
      <c r="G62">
        <f t="shared" si="10"/>
        <v>153.12923077529231</v>
      </c>
      <c r="J62" s="1">
        <f t="shared" si="2"/>
        <v>288.01673077529233</v>
      </c>
      <c r="N62">
        <f t="shared" si="5"/>
        <v>1.5116409750769231</v>
      </c>
      <c r="S62">
        <f t="shared" si="6"/>
        <v>3.8726130161537387</v>
      </c>
    </row>
    <row r="63" spans="1:19" x14ac:dyDescent="0.25">
      <c r="A63">
        <v>15.85</v>
      </c>
      <c r="B63">
        <v>884.29563970673405</v>
      </c>
      <c r="F63">
        <f t="shared" si="9"/>
        <v>135.37800000000001</v>
      </c>
      <c r="G63">
        <f>($G$42*($A$68-A63)+$G$68*(A63-$A$42))/($A$68-$A$42)</f>
        <v>153.54269231237691</v>
      </c>
      <c r="J63" s="1">
        <f t="shared" si="2"/>
        <v>288.9206923123769</v>
      </c>
      <c r="N63">
        <f t="shared" si="5"/>
        <v>1.5157225302307691</v>
      </c>
      <c r="S63">
        <f t="shared" si="6"/>
        <v>3.8775856957300769</v>
      </c>
    </row>
    <row r="64" spans="1:19" x14ac:dyDescent="0.25">
      <c r="A64">
        <v>15.9</v>
      </c>
      <c r="B64">
        <v>887.56429638416705</v>
      </c>
      <c r="F64">
        <f t="shared" si="9"/>
        <v>135.86850000000001</v>
      </c>
      <c r="G64">
        <f t="shared" si="10"/>
        <v>153.95615384946151</v>
      </c>
      <c r="J64" s="1">
        <f t="shared" si="2"/>
        <v>289.82465384946153</v>
      </c>
      <c r="N64">
        <f t="shared" si="5"/>
        <v>1.5198040853846151</v>
      </c>
      <c r="S64">
        <f t="shared" si="6"/>
        <v>3.8825316662507432</v>
      </c>
    </row>
    <row r="65" spans="1:19" x14ac:dyDescent="0.25">
      <c r="A65">
        <v>15.95</v>
      </c>
      <c r="B65">
        <v>890.83295316160104</v>
      </c>
      <c r="F65">
        <f>(A65-2.05)*9.81</f>
        <v>136.35899999999998</v>
      </c>
      <c r="G65">
        <f t="shared" si="10"/>
        <v>154.36961538654614</v>
      </c>
      <c r="J65" s="1">
        <f t="shared" si="2"/>
        <v>290.72861538654615</v>
      </c>
      <c r="N65">
        <f t="shared" si="5"/>
        <v>1.5238856405384615</v>
      </c>
      <c r="S65">
        <f t="shared" si="6"/>
        <v>3.8874511429750966</v>
      </c>
    </row>
    <row r="66" spans="1:19" x14ac:dyDescent="0.25">
      <c r="A66">
        <v>16</v>
      </c>
      <c r="B66">
        <v>897.39805651165</v>
      </c>
      <c r="F66">
        <f t="shared" ref="F66:F67" si="11">(A66-2.05)*9.81</f>
        <v>136.84950000000001</v>
      </c>
      <c r="G66">
        <f t="shared" si="10"/>
        <v>154.78307692363077</v>
      </c>
      <c r="J66" s="1">
        <f t="shared" si="2"/>
        <v>291.63257692363078</v>
      </c>
      <c r="N66">
        <f t="shared" si="5"/>
        <v>1.5279671956923078</v>
      </c>
      <c r="S66">
        <f t="shared" si="6"/>
        <v>3.9136415403274412</v>
      </c>
    </row>
    <row r="67" spans="1:19" x14ac:dyDescent="0.25">
      <c r="A67">
        <v>16.05</v>
      </c>
      <c r="B67">
        <v>915.65056180097099</v>
      </c>
      <c r="F67">
        <f t="shared" si="11"/>
        <v>137.34</v>
      </c>
      <c r="G67">
        <f t="shared" si="10"/>
        <v>155.1965384607154</v>
      </c>
      <c r="J67" s="1">
        <f t="shared" ref="J67:J130" si="12">G67+F67</f>
        <v>292.53653846071541</v>
      </c>
      <c r="N67">
        <f t="shared" si="5"/>
        <v>1.532048750846154</v>
      </c>
      <c r="S67">
        <f t="shared" si="6"/>
        <v>4.0149994936773874</v>
      </c>
    </row>
    <row r="68" spans="1:19" x14ac:dyDescent="0.25">
      <c r="A68">
        <v>16.100000000000001</v>
      </c>
      <c r="B68">
        <v>933.90306699029202</v>
      </c>
      <c r="C68" s="1">
        <v>36.44</v>
      </c>
      <c r="D68" s="1">
        <v>21.9</v>
      </c>
      <c r="E68" s="1">
        <v>40.00000000464</v>
      </c>
      <c r="F68">
        <f>(A68-2.05)*9.81</f>
        <v>137.8305</v>
      </c>
      <c r="G68" s="1">
        <v>155.6099999978</v>
      </c>
      <c r="H68" s="2"/>
      <c r="I68" s="1">
        <v>51.695389966399098</v>
      </c>
      <c r="J68" s="1">
        <f t="shared" si="12"/>
        <v>293.44049999779998</v>
      </c>
      <c r="K68">
        <f>C68</f>
        <v>36.44</v>
      </c>
      <c r="L68">
        <f>C68-D68</f>
        <v>14.54</v>
      </c>
      <c r="M68">
        <f>(E68-D68)/L68</f>
        <v>1.2448418160000001</v>
      </c>
      <c r="N68">
        <f t="shared" si="5"/>
        <v>1.536130306</v>
      </c>
      <c r="P68">
        <f>I68/G68</f>
        <v>0.33221123299999977</v>
      </c>
      <c r="S68">
        <f t="shared" si="6"/>
        <v>4.1158188227077108</v>
      </c>
    </row>
    <row r="69" spans="1:19" x14ac:dyDescent="0.25">
      <c r="A69">
        <v>16.149999999999999</v>
      </c>
      <c r="B69">
        <v>952.16181657961101</v>
      </c>
      <c r="F69">
        <f>(A69-2.05)*9.81</f>
        <v>138.321</v>
      </c>
      <c r="G69">
        <f>($G$68*($A$102-A69)+$G$102*(A69-$A$68))/($A$102-$A$68)</f>
        <v>156.02970588071466</v>
      </c>
      <c r="J69" s="1">
        <f t="shared" si="12"/>
        <v>294.35070588071466</v>
      </c>
      <c r="N69">
        <f t="shared" si="5"/>
        <v>1.5402735032647055</v>
      </c>
      <c r="S69">
        <f t="shared" si="6"/>
        <v>4.2159350809889728</v>
      </c>
    </row>
    <row r="70" spans="1:19" x14ac:dyDescent="0.25">
      <c r="A70">
        <v>16.2</v>
      </c>
      <c r="B70">
        <v>954.39051180000001</v>
      </c>
      <c r="F70">
        <f t="shared" ref="F70:F83" si="13">(A70-2.05)*9.81</f>
        <v>138.8115</v>
      </c>
      <c r="G70">
        <f t="shared" ref="G70:G101" si="14">($G$68*($A$102-A70)+$G$102*(A70-$A$68))/($A$102-$A$68)</f>
        <v>156.4494117636294</v>
      </c>
      <c r="J70" s="1">
        <f t="shared" si="12"/>
        <v>295.26091176362939</v>
      </c>
      <c r="N70">
        <f t="shared" si="5"/>
        <v>1.5444167005294116</v>
      </c>
      <c r="S70">
        <f t="shared" si="6"/>
        <v>4.2130525938455587</v>
      </c>
    </row>
    <row r="71" spans="1:19" x14ac:dyDescent="0.25">
      <c r="A71">
        <v>16.25</v>
      </c>
      <c r="B71">
        <v>955.30071759999998</v>
      </c>
      <c r="F71">
        <f t="shared" si="13"/>
        <v>139.30199999999999</v>
      </c>
      <c r="G71">
        <f t="shared" si="14"/>
        <v>156.86911764654408</v>
      </c>
      <c r="J71" s="1">
        <f t="shared" si="12"/>
        <v>296.17111764654408</v>
      </c>
      <c r="N71">
        <f t="shared" si="5"/>
        <v>1.5485598977941173</v>
      </c>
      <c r="S71">
        <f t="shared" si="6"/>
        <v>4.2017805023841603</v>
      </c>
    </row>
    <row r="72" spans="1:19" x14ac:dyDescent="0.25">
      <c r="A72">
        <v>16.3</v>
      </c>
      <c r="B72">
        <v>956.21092350000004</v>
      </c>
      <c r="F72">
        <f t="shared" si="13"/>
        <v>139.79250000000002</v>
      </c>
      <c r="G72">
        <f t="shared" si="14"/>
        <v>157.28882352945882</v>
      </c>
      <c r="J72" s="1">
        <f t="shared" si="12"/>
        <v>297.08132352945881</v>
      </c>
      <c r="N72">
        <f t="shared" si="5"/>
        <v>1.5527030950588236</v>
      </c>
      <c r="S72">
        <f t="shared" si="6"/>
        <v>4.1905685679382811</v>
      </c>
    </row>
    <row r="73" spans="1:19" x14ac:dyDescent="0.25">
      <c r="A73">
        <v>16.350000000000001</v>
      </c>
      <c r="B73">
        <v>957.12112939999997</v>
      </c>
      <c r="F73">
        <f t="shared" si="13"/>
        <v>140.28300000000002</v>
      </c>
      <c r="G73">
        <f t="shared" si="14"/>
        <v>157.70852941237354</v>
      </c>
      <c r="J73" s="1">
        <f t="shared" si="12"/>
        <v>297.99152941237355</v>
      </c>
      <c r="N73">
        <f t="shared" si="5"/>
        <v>1.5568462923235296</v>
      </c>
      <c r="S73">
        <f t="shared" si="6"/>
        <v>4.1794163095906232</v>
      </c>
    </row>
    <row r="74" spans="1:19" x14ac:dyDescent="0.25">
      <c r="A74">
        <v>16.399999999999999</v>
      </c>
      <c r="B74">
        <v>958.03133530000002</v>
      </c>
      <c r="F74">
        <f t="shared" si="13"/>
        <v>140.77349999999998</v>
      </c>
      <c r="G74">
        <f t="shared" si="14"/>
        <v>158.12823529528822</v>
      </c>
      <c r="J74" s="1">
        <f t="shared" si="12"/>
        <v>298.90173529528818</v>
      </c>
      <c r="N74">
        <f t="shared" si="5"/>
        <v>1.5609894895882352</v>
      </c>
      <c r="S74">
        <f t="shared" si="6"/>
        <v>4.1683232521621143</v>
      </c>
    </row>
    <row r="75" spans="1:19" x14ac:dyDescent="0.25">
      <c r="A75">
        <v>16.45</v>
      </c>
      <c r="B75">
        <v>958.94154119999996</v>
      </c>
      <c r="F75">
        <f t="shared" si="13"/>
        <v>141.26399999999998</v>
      </c>
      <c r="G75">
        <f t="shared" si="14"/>
        <v>158.5479411782029</v>
      </c>
      <c r="J75" s="1">
        <f t="shared" si="12"/>
        <v>299.81194117820291</v>
      </c>
      <c r="N75">
        <f t="shared" ref="N75:N138" si="15">G75/101.3</f>
        <v>1.5651326868529409</v>
      </c>
      <c r="S75">
        <f t="shared" ref="S75:S138" si="16">(B75-J75)/G75</f>
        <v>4.1572889255052266</v>
      </c>
    </row>
    <row r="76" spans="1:19" x14ac:dyDescent="0.25">
      <c r="A76">
        <v>16.5</v>
      </c>
      <c r="B76">
        <v>959.46151234112801</v>
      </c>
      <c r="F76">
        <f t="shared" si="13"/>
        <v>141.75450000000001</v>
      </c>
      <c r="G76">
        <f t="shared" si="14"/>
        <v>158.96764706111765</v>
      </c>
      <c r="J76" s="1">
        <f t="shared" si="12"/>
        <v>300.72214706111765</v>
      </c>
      <c r="N76">
        <f t="shared" si="15"/>
        <v>1.5692758841176471</v>
      </c>
      <c r="S76">
        <f t="shared" si="16"/>
        <v>4.1438580582799185</v>
      </c>
    </row>
    <row r="77" spans="1:19" x14ac:dyDescent="0.25">
      <c r="A77">
        <v>16.55</v>
      </c>
      <c r="B77">
        <v>959.18918856878997</v>
      </c>
      <c r="F77">
        <f t="shared" si="13"/>
        <v>142.245</v>
      </c>
      <c r="G77">
        <f t="shared" si="14"/>
        <v>159.38735294403236</v>
      </c>
      <c r="J77" s="1">
        <f t="shared" si="12"/>
        <v>301.63235294403239</v>
      </c>
      <c r="N77">
        <f t="shared" si="15"/>
        <v>1.573419081382353</v>
      </c>
      <c r="S77">
        <f t="shared" si="16"/>
        <v>4.1255270476551145</v>
      </c>
    </row>
    <row r="78" spans="1:19" x14ac:dyDescent="0.25">
      <c r="A78">
        <v>16.600000000000001</v>
      </c>
      <c r="B78">
        <v>958.91686489645099</v>
      </c>
      <c r="F78">
        <f t="shared" si="13"/>
        <v>142.7355</v>
      </c>
      <c r="G78">
        <f t="shared" si="14"/>
        <v>159.80705882694704</v>
      </c>
      <c r="J78" s="1">
        <f t="shared" si="12"/>
        <v>302.54255882694702</v>
      </c>
      <c r="N78">
        <f t="shared" si="15"/>
        <v>1.5775622786470587</v>
      </c>
      <c r="S78">
        <f t="shared" si="16"/>
        <v>4.1072923241787649</v>
      </c>
    </row>
    <row r="79" spans="1:19" x14ac:dyDescent="0.25">
      <c r="A79">
        <v>16.649999999999999</v>
      </c>
      <c r="B79">
        <v>958.64454122411303</v>
      </c>
      <c r="F79">
        <f t="shared" si="13"/>
        <v>143.226</v>
      </c>
      <c r="G79">
        <f t="shared" si="14"/>
        <v>160.22676470986175</v>
      </c>
      <c r="J79" s="1">
        <f t="shared" si="12"/>
        <v>303.45276470986175</v>
      </c>
      <c r="N79">
        <f t="shared" si="15"/>
        <v>1.5817054759117646</v>
      </c>
      <c r="S79">
        <f t="shared" si="16"/>
        <v>4.0891531305688593</v>
      </c>
    </row>
    <row r="80" spans="1:19" x14ac:dyDescent="0.25">
      <c r="A80">
        <v>16.7</v>
      </c>
      <c r="B80">
        <v>958.37221755177404</v>
      </c>
      <c r="F80">
        <f t="shared" si="13"/>
        <v>143.7165</v>
      </c>
      <c r="G80">
        <f t="shared" si="14"/>
        <v>160.64647059277644</v>
      </c>
      <c r="J80" s="1">
        <f t="shared" si="12"/>
        <v>304.36297059277643</v>
      </c>
      <c r="N80">
        <f t="shared" si="15"/>
        <v>1.5858486731764703</v>
      </c>
      <c r="S80">
        <f t="shared" si="16"/>
        <v>4.0711087180797705</v>
      </c>
    </row>
    <row r="81" spans="1:19" x14ac:dyDescent="0.25">
      <c r="A81">
        <v>16.75</v>
      </c>
      <c r="B81">
        <v>958.09989387943597</v>
      </c>
      <c r="F81">
        <f t="shared" si="13"/>
        <v>144.20699999999999</v>
      </c>
      <c r="G81">
        <f t="shared" si="14"/>
        <v>161.06617647569118</v>
      </c>
      <c r="J81" s="1">
        <f t="shared" si="12"/>
        <v>305.27317647569117</v>
      </c>
      <c r="N81">
        <f t="shared" si="15"/>
        <v>1.5899918704411766</v>
      </c>
      <c r="S81">
        <f t="shared" si="16"/>
        <v>4.0531583457702078</v>
      </c>
    </row>
    <row r="82" spans="1:19" x14ac:dyDescent="0.25">
      <c r="A82">
        <v>16.8</v>
      </c>
      <c r="B82">
        <v>957.82757020709698</v>
      </c>
      <c r="F82">
        <f t="shared" si="13"/>
        <v>144.69750000000002</v>
      </c>
      <c r="G82">
        <f t="shared" si="14"/>
        <v>161.48588235860589</v>
      </c>
      <c r="J82" s="1">
        <f t="shared" si="12"/>
        <v>306.18338235860591</v>
      </c>
      <c r="N82">
        <f t="shared" si="15"/>
        <v>1.5941350677058825</v>
      </c>
      <c r="S82">
        <f t="shared" si="16"/>
        <v>4.0353012804017645</v>
      </c>
    </row>
    <row r="83" spans="1:19" x14ac:dyDescent="0.25">
      <c r="A83">
        <v>16.850000000000001</v>
      </c>
      <c r="B83">
        <v>957.55524643475906</v>
      </c>
      <c r="F83">
        <f t="shared" si="13"/>
        <v>145.18800000000002</v>
      </c>
      <c r="G83">
        <f t="shared" si="14"/>
        <v>161.9055882415206</v>
      </c>
      <c r="J83" s="1">
        <f t="shared" si="12"/>
        <v>307.09358824152059</v>
      </c>
      <c r="N83">
        <f t="shared" si="15"/>
        <v>1.5982782649705884</v>
      </c>
      <c r="S83">
        <f t="shared" si="16"/>
        <v>4.0175367957214707</v>
      </c>
    </row>
    <row r="84" spans="1:19" x14ac:dyDescent="0.25">
      <c r="A84">
        <v>16.899999999999999</v>
      </c>
      <c r="B84">
        <v>957.28292276241996</v>
      </c>
      <c r="F84">
        <f>(A84-2.05)*9.81</f>
        <v>145.67849999999999</v>
      </c>
      <c r="G84">
        <f t="shared" si="14"/>
        <v>162.32529412443529</v>
      </c>
      <c r="J84" s="1">
        <f t="shared" si="12"/>
        <v>308.00379412443527</v>
      </c>
      <c r="N84">
        <f t="shared" si="15"/>
        <v>1.6024214622352941</v>
      </c>
      <c r="S84">
        <f t="shared" si="16"/>
        <v>3.9998641748356265</v>
      </c>
    </row>
    <row r="85" spans="1:19" x14ac:dyDescent="0.25">
      <c r="A85">
        <v>16.95</v>
      </c>
      <c r="B85">
        <v>957.13774663268998</v>
      </c>
      <c r="F85">
        <f t="shared" ref="F85:F102" si="17">(A85-2.05)*9.81</f>
        <v>146.16899999999998</v>
      </c>
      <c r="G85">
        <f t="shared" si="14"/>
        <v>162.74500000734997</v>
      </c>
      <c r="J85" s="1">
        <f t="shared" si="12"/>
        <v>308.91400000734996</v>
      </c>
      <c r="N85">
        <f t="shared" si="15"/>
        <v>1.6065646594999998</v>
      </c>
      <c r="S85">
        <f t="shared" si="16"/>
        <v>3.983063974905924</v>
      </c>
    </row>
    <row r="86" spans="1:19" x14ac:dyDescent="0.25">
      <c r="A86">
        <v>17</v>
      </c>
      <c r="B86">
        <v>957.10175668267198</v>
      </c>
      <c r="F86">
        <f t="shared" si="17"/>
        <v>146.65950000000001</v>
      </c>
      <c r="G86">
        <f t="shared" si="14"/>
        <v>163.16470589026471</v>
      </c>
      <c r="J86" s="1">
        <f t="shared" si="12"/>
        <v>309.82420589026469</v>
      </c>
      <c r="N86">
        <f t="shared" si="15"/>
        <v>1.610707856764706</v>
      </c>
      <c r="S86">
        <f t="shared" si="16"/>
        <v>3.9670193824130648</v>
      </c>
    </row>
    <row r="87" spans="1:19" x14ac:dyDescent="0.25">
      <c r="A87">
        <v>17.05</v>
      </c>
      <c r="B87">
        <v>957.06576673265397</v>
      </c>
      <c r="F87">
        <f t="shared" si="17"/>
        <v>147.15</v>
      </c>
      <c r="G87">
        <f t="shared" si="14"/>
        <v>163.5844117731794</v>
      </c>
      <c r="J87" s="1">
        <f t="shared" si="12"/>
        <v>310.73441177317943</v>
      </c>
      <c r="N87">
        <f t="shared" si="15"/>
        <v>1.6148510540294116</v>
      </c>
      <c r="S87">
        <f t="shared" si="16"/>
        <v>3.9510571206237897</v>
      </c>
    </row>
    <row r="88" spans="1:19" x14ac:dyDescent="0.25">
      <c r="A88">
        <v>17.100000000000001</v>
      </c>
      <c r="B88">
        <v>957.02977678263596</v>
      </c>
      <c r="F88">
        <f t="shared" si="17"/>
        <v>147.6405</v>
      </c>
      <c r="G88">
        <f t="shared" si="14"/>
        <v>164.00411765609414</v>
      </c>
      <c r="J88" s="1">
        <f t="shared" si="12"/>
        <v>311.64461765609417</v>
      </c>
      <c r="N88">
        <f t="shared" si="15"/>
        <v>1.618994251294118</v>
      </c>
      <c r="S88">
        <f t="shared" si="16"/>
        <v>3.935176557456149</v>
      </c>
    </row>
    <row r="89" spans="1:19" x14ac:dyDescent="0.25">
      <c r="A89">
        <v>17.149999999999999</v>
      </c>
      <c r="B89">
        <v>956.99378673261697</v>
      </c>
      <c r="F89">
        <f t="shared" si="17"/>
        <v>148.131</v>
      </c>
      <c r="G89">
        <f t="shared" si="14"/>
        <v>164.42382353900879</v>
      </c>
      <c r="J89" s="1">
        <f t="shared" si="12"/>
        <v>312.55482353900879</v>
      </c>
      <c r="N89">
        <f t="shared" si="15"/>
        <v>1.6231374485588232</v>
      </c>
      <c r="S89">
        <f t="shared" si="16"/>
        <v>3.9193770666737842</v>
      </c>
    </row>
    <row r="90" spans="1:19" x14ac:dyDescent="0.25">
      <c r="A90">
        <v>17.2</v>
      </c>
      <c r="B90">
        <v>957.22485279027603</v>
      </c>
      <c r="F90">
        <f t="shared" si="17"/>
        <v>148.6215</v>
      </c>
      <c r="G90">
        <f t="shared" si="14"/>
        <v>164.84352942192351</v>
      </c>
      <c r="J90" s="1">
        <f t="shared" si="12"/>
        <v>313.46502942192353</v>
      </c>
      <c r="N90">
        <f t="shared" si="15"/>
        <v>1.6272806458235292</v>
      </c>
      <c r="S90">
        <f t="shared" si="16"/>
        <v>3.9052780878078863</v>
      </c>
    </row>
    <row r="91" spans="1:19" x14ac:dyDescent="0.25">
      <c r="A91">
        <v>17.25</v>
      </c>
      <c r="B91">
        <v>963.25831756018397</v>
      </c>
      <c r="F91">
        <f t="shared" si="17"/>
        <v>149.11199999999999</v>
      </c>
      <c r="G91">
        <f t="shared" si="14"/>
        <v>165.26323530483825</v>
      </c>
      <c r="J91" s="1">
        <f t="shared" si="12"/>
        <v>314.37523530483827</v>
      </c>
      <c r="N91">
        <f t="shared" si="15"/>
        <v>1.6314238430882355</v>
      </c>
      <c r="S91">
        <f t="shared" si="16"/>
        <v>3.9263607605069617</v>
      </c>
    </row>
    <row r="92" spans="1:19" x14ac:dyDescent="0.25">
      <c r="A92">
        <v>17.3</v>
      </c>
      <c r="B92">
        <v>969.29178233009202</v>
      </c>
      <c r="F92">
        <f t="shared" si="17"/>
        <v>149.60250000000002</v>
      </c>
      <c r="G92">
        <f t="shared" si="14"/>
        <v>165.68294118775293</v>
      </c>
      <c r="J92" s="1">
        <f t="shared" si="12"/>
        <v>315.28544118775295</v>
      </c>
      <c r="N92">
        <f t="shared" si="15"/>
        <v>1.6355670403529412</v>
      </c>
      <c r="S92">
        <f t="shared" si="16"/>
        <v>3.9473366204986373</v>
      </c>
    </row>
    <row r="93" spans="1:19" x14ac:dyDescent="0.25">
      <c r="A93">
        <v>17.350000000000001</v>
      </c>
      <c r="B93">
        <v>975.32524709999996</v>
      </c>
      <c r="F93">
        <f t="shared" si="17"/>
        <v>150.09300000000002</v>
      </c>
      <c r="G93">
        <f t="shared" si="14"/>
        <v>166.10264707066764</v>
      </c>
      <c r="J93" s="1">
        <f t="shared" si="12"/>
        <v>316.19564707066763</v>
      </c>
      <c r="N93">
        <f t="shared" si="15"/>
        <v>1.6397102376176471</v>
      </c>
      <c r="S93">
        <f t="shared" si="16"/>
        <v>3.9682064774615453</v>
      </c>
    </row>
    <row r="94" spans="1:19" x14ac:dyDescent="0.25">
      <c r="A94">
        <v>17.399999999999999</v>
      </c>
      <c r="B94">
        <v>1029.2777387142801</v>
      </c>
      <c r="F94">
        <f t="shared" si="17"/>
        <v>150.58349999999999</v>
      </c>
      <c r="G94">
        <f t="shared" si="14"/>
        <v>166.52235295358233</v>
      </c>
      <c r="J94" s="1">
        <f t="shared" si="12"/>
        <v>317.10585295358231</v>
      </c>
      <c r="N94">
        <f t="shared" si="15"/>
        <v>1.6438534348823528</v>
      </c>
      <c r="S94">
        <f t="shared" si="16"/>
        <v>4.2767344631456998</v>
      </c>
    </row>
    <row r="95" spans="1:19" x14ac:dyDescent="0.25">
      <c r="A95">
        <v>17.45</v>
      </c>
      <c r="B95">
        <v>1083.23023022857</v>
      </c>
      <c r="F95">
        <f t="shared" si="17"/>
        <v>151.07399999999998</v>
      </c>
      <c r="G95">
        <f t="shared" si="14"/>
        <v>166.94205883649707</v>
      </c>
      <c r="J95" s="1">
        <f t="shared" si="12"/>
        <v>318.01605883649705</v>
      </c>
      <c r="N95">
        <f t="shared" si="15"/>
        <v>1.6479966321470589</v>
      </c>
      <c r="S95">
        <f t="shared" si="16"/>
        <v>4.583711119446078</v>
      </c>
    </row>
    <row r="96" spans="1:19" x14ac:dyDescent="0.25">
      <c r="A96">
        <v>17.5</v>
      </c>
      <c r="B96">
        <v>1090.67175699836</v>
      </c>
      <c r="F96">
        <f t="shared" si="17"/>
        <v>151.56450000000001</v>
      </c>
      <c r="G96">
        <f t="shared" si="14"/>
        <v>167.36176471941175</v>
      </c>
      <c r="J96" s="1">
        <f t="shared" si="12"/>
        <v>318.92626471941173</v>
      </c>
      <c r="N96">
        <f t="shared" si="15"/>
        <v>1.6521398294117646</v>
      </c>
      <c r="S96">
        <f t="shared" si="16"/>
        <v>4.6112413643152514</v>
      </c>
    </row>
    <row r="97" spans="1:19" x14ac:dyDescent="0.25">
      <c r="A97">
        <v>17.55</v>
      </c>
      <c r="B97">
        <v>1060.0588579862899</v>
      </c>
      <c r="F97">
        <f t="shared" si="17"/>
        <v>152.05500000000001</v>
      </c>
      <c r="G97">
        <f t="shared" si="14"/>
        <v>167.78147060232646</v>
      </c>
      <c r="J97" s="1">
        <f t="shared" si="12"/>
        <v>319.83647060232647</v>
      </c>
      <c r="N97">
        <f t="shared" si="15"/>
        <v>1.6562830266764705</v>
      </c>
      <c r="S97">
        <f t="shared" si="16"/>
        <v>4.4118244090161136</v>
      </c>
    </row>
    <row r="98" spans="1:19" x14ac:dyDescent="0.25">
      <c r="A98">
        <v>17.600000000000001</v>
      </c>
      <c r="B98">
        <v>1029.4459589742301</v>
      </c>
      <c r="F98">
        <f t="shared" si="17"/>
        <v>152.5455</v>
      </c>
      <c r="G98">
        <f t="shared" si="14"/>
        <v>168.20117648524118</v>
      </c>
      <c r="J98" s="1">
        <f t="shared" si="12"/>
        <v>320.74667648524121</v>
      </c>
      <c r="N98">
        <f t="shared" si="15"/>
        <v>1.6604262239411764</v>
      </c>
      <c r="S98">
        <f t="shared" si="16"/>
        <v>4.2134026485312583</v>
      </c>
    </row>
    <row r="99" spans="1:19" x14ac:dyDescent="0.25">
      <c r="A99">
        <v>17.649999999999999</v>
      </c>
      <c r="B99">
        <v>1006.7768824</v>
      </c>
      <c r="F99">
        <f t="shared" si="17"/>
        <v>153.03599999999997</v>
      </c>
      <c r="G99">
        <f t="shared" si="14"/>
        <v>168.62088236815586</v>
      </c>
      <c r="J99" s="1">
        <f t="shared" si="12"/>
        <v>321.65688236815583</v>
      </c>
      <c r="N99">
        <f t="shared" si="15"/>
        <v>1.6645694212058821</v>
      </c>
      <c r="S99">
        <f t="shared" si="16"/>
        <v>4.0630792011632204</v>
      </c>
    </row>
    <row r="100" spans="1:19" x14ac:dyDescent="0.25">
      <c r="A100">
        <v>17.7</v>
      </c>
      <c r="B100">
        <v>1007.6870883</v>
      </c>
      <c r="F100">
        <f t="shared" si="17"/>
        <v>153.5265</v>
      </c>
      <c r="G100">
        <f t="shared" si="14"/>
        <v>169.04058825107057</v>
      </c>
      <c r="J100" s="1">
        <f t="shared" si="12"/>
        <v>322.56708825107057</v>
      </c>
      <c r="N100">
        <f t="shared" si="15"/>
        <v>1.668712618470588</v>
      </c>
      <c r="S100">
        <f t="shared" si="16"/>
        <v>4.0529911019437694</v>
      </c>
    </row>
    <row r="101" spans="1:19" x14ac:dyDescent="0.25">
      <c r="A101">
        <v>17.75</v>
      </c>
      <c r="B101">
        <v>1008.5972941</v>
      </c>
      <c r="F101">
        <f t="shared" si="17"/>
        <v>154.017</v>
      </c>
      <c r="G101">
        <f t="shared" si="14"/>
        <v>169.46029413398526</v>
      </c>
      <c r="J101" s="1">
        <f t="shared" si="12"/>
        <v>323.47729413398525</v>
      </c>
      <c r="N101">
        <f t="shared" si="15"/>
        <v>1.6728558157352937</v>
      </c>
      <c r="S101">
        <f t="shared" si="16"/>
        <v>4.0429529729502223</v>
      </c>
    </row>
    <row r="102" spans="1:19" x14ac:dyDescent="0.25">
      <c r="A102">
        <v>17.8</v>
      </c>
      <c r="B102">
        <v>1009.5075000000001</v>
      </c>
      <c r="C102" s="1">
        <v>41.9</v>
      </c>
      <c r="D102" s="1">
        <v>23</v>
      </c>
      <c r="E102" s="1">
        <v>39.999999991099997</v>
      </c>
      <c r="F102">
        <f t="shared" si="17"/>
        <v>154.50750000000002</v>
      </c>
      <c r="G102" s="1">
        <v>169.8800000169</v>
      </c>
      <c r="H102" s="1">
        <v>181.77160002720001</v>
      </c>
      <c r="I102" s="1">
        <v>42.804900077218299</v>
      </c>
      <c r="J102" s="1">
        <f t="shared" si="12"/>
        <v>324.38750001690005</v>
      </c>
      <c r="K102">
        <f>C102</f>
        <v>41.9</v>
      </c>
      <c r="L102">
        <f>C102-D102</f>
        <v>18.899999999999999</v>
      </c>
      <c r="M102">
        <f>(E102-D102)/L102</f>
        <v>0.89947089899999988</v>
      </c>
      <c r="N102">
        <f t="shared" si="15"/>
        <v>1.6769990130000001</v>
      </c>
      <c r="O102">
        <f>H102/101.3</f>
        <v>1.794388944</v>
      </c>
      <c r="P102">
        <f>I102/G102</f>
        <v>0.25197139199999991</v>
      </c>
      <c r="S102">
        <f t="shared" si="16"/>
        <v>4.0329644449902453</v>
      </c>
    </row>
    <row r="103" spans="1:19" x14ac:dyDescent="0.25">
      <c r="A103">
        <v>17.850000000000001</v>
      </c>
      <c r="B103">
        <v>1010.457</v>
      </c>
      <c r="F103">
        <f>(A103-2.05)*9.81</f>
        <v>154.99800000000002</v>
      </c>
      <c r="G103">
        <f>($G$102*($A$112-A103)+$G$112*(A103-$A$102))/($A$112-$A$102)</f>
        <v>170.33900001131002</v>
      </c>
      <c r="J103" s="1">
        <f t="shared" si="12"/>
        <v>325.33700001131001</v>
      </c>
      <c r="N103">
        <f t="shared" si="15"/>
        <v>1.6815301087000003</v>
      </c>
      <c r="S103">
        <f t="shared" si="16"/>
        <v>4.0220971118956905</v>
      </c>
    </row>
    <row r="104" spans="1:19" x14ac:dyDescent="0.25">
      <c r="A104">
        <v>17.899999999999999</v>
      </c>
      <c r="B104">
        <v>1011.4065000000001</v>
      </c>
      <c r="F104">
        <f t="shared" ref="F104:F119" si="18">(A104-2.05)*9.81</f>
        <v>155.48849999999999</v>
      </c>
      <c r="G104">
        <f t="shared" ref="G104:G111" si="19">($G$102*($A$112-A104)+$G$112*(A104-$A$102))/($A$112-$A$102)</f>
        <v>170.79800000571998</v>
      </c>
      <c r="J104" s="1">
        <f t="shared" si="12"/>
        <v>326.28650000571997</v>
      </c>
      <c r="N104">
        <f t="shared" si="15"/>
        <v>1.6860612043999998</v>
      </c>
      <c r="S104">
        <f t="shared" si="16"/>
        <v>4.0112881882184546</v>
      </c>
    </row>
    <row r="105" spans="1:19" x14ac:dyDescent="0.25">
      <c r="A105">
        <v>17.95</v>
      </c>
      <c r="B105">
        <v>1012.356</v>
      </c>
      <c r="F105">
        <f t="shared" si="18"/>
        <v>155.97899999999998</v>
      </c>
      <c r="G105">
        <f t="shared" si="19"/>
        <v>171.25700000012998</v>
      </c>
      <c r="J105" s="1">
        <f t="shared" si="12"/>
        <v>327.23600000012993</v>
      </c>
      <c r="N105">
        <f t="shared" si="15"/>
        <v>1.6905923000999998</v>
      </c>
      <c r="S105">
        <f t="shared" si="16"/>
        <v>4.0005372043148606</v>
      </c>
    </row>
    <row r="106" spans="1:19" x14ac:dyDescent="0.25">
      <c r="A106">
        <v>18</v>
      </c>
      <c r="B106">
        <v>1013.3055000000001</v>
      </c>
      <c r="F106">
        <f t="shared" si="18"/>
        <v>156.46950000000001</v>
      </c>
      <c r="G106">
        <f t="shared" si="19"/>
        <v>171.71599999454</v>
      </c>
      <c r="J106" s="1">
        <f t="shared" si="12"/>
        <v>328.18549999454001</v>
      </c>
      <c r="N106">
        <f t="shared" si="15"/>
        <v>1.6951233958</v>
      </c>
      <c r="S106">
        <f t="shared" si="16"/>
        <v>3.9898436955626999</v>
      </c>
    </row>
    <row r="107" spans="1:19" x14ac:dyDescent="0.25">
      <c r="A107">
        <v>18.05</v>
      </c>
      <c r="B107">
        <v>1104.33997087379</v>
      </c>
      <c r="F107">
        <f t="shared" si="18"/>
        <v>156.96</v>
      </c>
      <c r="G107">
        <f t="shared" si="19"/>
        <v>172.17499998894999</v>
      </c>
      <c r="J107" s="1">
        <f t="shared" si="12"/>
        <v>329.13499998894997</v>
      </c>
      <c r="N107">
        <f t="shared" si="15"/>
        <v>1.6996544915</v>
      </c>
      <c r="S107">
        <f t="shared" si="16"/>
        <v>4.5024246896157507</v>
      </c>
    </row>
    <row r="108" spans="1:19" x14ac:dyDescent="0.25">
      <c r="A108">
        <v>18.100000000000001</v>
      </c>
      <c r="B108">
        <v>1266.1554902912701</v>
      </c>
      <c r="F108">
        <f t="shared" si="18"/>
        <v>157.45050000000001</v>
      </c>
      <c r="G108">
        <f t="shared" si="19"/>
        <v>172.63399998336001</v>
      </c>
      <c r="J108" s="1">
        <f t="shared" si="12"/>
        <v>330.08449998336005</v>
      </c>
      <c r="N108">
        <f t="shared" si="15"/>
        <v>1.7041855872000002</v>
      </c>
      <c r="S108">
        <f t="shared" si="16"/>
        <v>5.4222864001189617</v>
      </c>
    </row>
    <row r="109" spans="1:19" x14ac:dyDescent="0.25">
      <c r="A109">
        <v>18.149999999999999</v>
      </c>
      <c r="B109">
        <v>1427.97100970873</v>
      </c>
      <c r="F109">
        <f t="shared" si="18"/>
        <v>157.94099999999997</v>
      </c>
      <c r="G109">
        <f t="shared" si="19"/>
        <v>173.09299997776998</v>
      </c>
      <c r="J109" s="1">
        <f t="shared" si="12"/>
        <v>331.03399997776995</v>
      </c>
      <c r="N109">
        <f t="shared" si="15"/>
        <v>1.7087166828999998</v>
      </c>
      <c r="S109">
        <f t="shared" si="16"/>
        <v>6.3372696173261636</v>
      </c>
    </row>
    <row r="110" spans="1:19" x14ac:dyDescent="0.25">
      <c r="A110">
        <v>18.2</v>
      </c>
      <c r="B110">
        <v>1512.7601718446599</v>
      </c>
      <c r="F110">
        <f t="shared" si="18"/>
        <v>158.4315</v>
      </c>
      <c r="G110">
        <f>($G$102*($A$112-A110)+$G$112*(A110-$A$102))/($A$112-$A$102)</f>
        <v>173.55199997218</v>
      </c>
      <c r="J110" s="1">
        <f t="shared" si="12"/>
        <v>331.98349997217997</v>
      </c>
      <c r="N110">
        <f t="shared" si="15"/>
        <v>1.7132477786</v>
      </c>
      <c r="S110">
        <f t="shared" si="16"/>
        <v>6.8035901174388993</v>
      </c>
    </row>
    <row r="111" spans="1:19" x14ac:dyDescent="0.25">
      <c r="A111">
        <v>18.25</v>
      </c>
      <c r="B111">
        <v>1382.8091864077701</v>
      </c>
      <c r="F111">
        <f t="shared" si="18"/>
        <v>158.922</v>
      </c>
      <c r="G111">
        <f t="shared" si="19"/>
        <v>174.01099996658999</v>
      </c>
      <c r="J111" s="1">
        <f t="shared" si="12"/>
        <v>332.93299996658999</v>
      </c>
      <c r="N111">
        <f t="shared" si="15"/>
        <v>1.7177788743</v>
      </c>
      <c r="S111">
        <f t="shared" si="16"/>
        <v>6.0333897664099148</v>
      </c>
    </row>
    <row r="112" spans="1:19" x14ac:dyDescent="0.25">
      <c r="A112">
        <v>18.3</v>
      </c>
      <c r="B112">
        <v>1252.85820097088</v>
      </c>
      <c r="C112" s="2"/>
      <c r="D112" s="2"/>
      <c r="E112" s="2"/>
      <c r="F112">
        <f t="shared" si="18"/>
        <v>159.41249999999999</v>
      </c>
      <c r="G112" s="1">
        <v>174.46999996100001</v>
      </c>
      <c r="H112" s="2"/>
      <c r="I112" s="1">
        <v>59.285124946597797</v>
      </c>
      <c r="J112" s="1">
        <f t="shared" si="12"/>
        <v>333.88249996100001</v>
      </c>
      <c r="N112">
        <f t="shared" si="15"/>
        <v>1.7223099700000002</v>
      </c>
      <c r="P112">
        <f>I112/G112</f>
        <v>0.33980125500000025</v>
      </c>
      <c r="S112">
        <f t="shared" si="16"/>
        <v>5.2672419396761754</v>
      </c>
    </row>
    <row r="113" spans="1:19" x14ac:dyDescent="0.25">
      <c r="A113">
        <v>18.350000000000001</v>
      </c>
      <c r="B113">
        <v>1122.85611023398</v>
      </c>
      <c r="F113">
        <f t="shared" si="18"/>
        <v>159.90300000000002</v>
      </c>
      <c r="G113">
        <f>($G$112*($A$150-A113)+$G$150*(A113-$A$112))/($A$150-$A$112)</f>
        <v>174.87789469828158</v>
      </c>
      <c r="J113" s="1">
        <f t="shared" si="12"/>
        <v>334.7808946982816</v>
      </c>
      <c r="N113">
        <f t="shared" si="15"/>
        <v>1.7263365715526315</v>
      </c>
      <c r="S113">
        <f t="shared" si="16"/>
        <v>4.5064312839274034</v>
      </c>
    </row>
    <row r="114" spans="1:19" x14ac:dyDescent="0.25">
      <c r="A114">
        <v>18.399999999999999</v>
      </c>
      <c r="B114">
        <v>1107.6633755717601</v>
      </c>
      <c r="F114">
        <f t="shared" si="18"/>
        <v>160.39349999999999</v>
      </c>
      <c r="G114">
        <f t="shared" ref="G114:G149" si="20">($G$112*($A$150-A114)+$G$150*(A114-$A$112))/($A$150-$A$112)</f>
        <v>175.28578943556315</v>
      </c>
      <c r="J114" s="1">
        <f t="shared" si="12"/>
        <v>335.67928943556313</v>
      </c>
      <c r="N114">
        <f t="shared" si="15"/>
        <v>1.7303631731052631</v>
      </c>
      <c r="S114">
        <f t="shared" si="16"/>
        <v>4.4041453024917701</v>
      </c>
    </row>
    <row r="115" spans="1:19" x14ac:dyDescent="0.25">
      <c r="A115">
        <v>18.45</v>
      </c>
      <c r="B115">
        <v>1096.26599162358</v>
      </c>
      <c r="F115">
        <f t="shared" si="18"/>
        <v>160.88399999999999</v>
      </c>
      <c r="G115">
        <f t="shared" si="20"/>
        <v>175.69368417284477</v>
      </c>
      <c r="J115" s="1">
        <f t="shared" si="12"/>
        <v>336.57768417284478</v>
      </c>
      <c r="N115">
        <f t="shared" si="15"/>
        <v>1.7343897746578951</v>
      </c>
      <c r="S115">
        <f t="shared" si="16"/>
        <v>4.3239363499450869</v>
      </c>
    </row>
    <row r="116" spans="1:19" x14ac:dyDescent="0.25">
      <c r="A116">
        <v>18.5</v>
      </c>
      <c r="B116">
        <v>1084.8686075753999</v>
      </c>
      <c r="F116">
        <f t="shared" si="18"/>
        <v>161.37450000000001</v>
      </c>
      <c r="G116">
        <f t="shared" si="20"/>
        <v>176.10157891012631</v>
      </c>
      <c r="J116" s="1">
        <f t="shared" si="12"/>
        <v>337.47607891012632</v>
      </c>
      <c r="N116">
        <f t="shared" si="15"/>
        <v>1.7384163762105262</v>
      </c>
      <c r="S116">
        <f t="shared" si="16"/>
        <v>4.2440989643068816</v>
      </c>
    </row>
    <row r="117" spans="1:19" x14ac:dyDescent="0.25">
      <c r="A117">
        <v>18.55</v>
      </c>
      <c r="B117">
        <v>1073.47122352722</v>
      </c>
      <c r="F117">
        <f t="shared" si="18"/>
        <v>161.86500000000001</v>
      </c>
      <c r="G117">
        <f t="shared" si="20"/>
        <v>176.50947364740793</v>
      </c>
      <c r="J117" s="1">
        <f t="shared" si="12"/>
        <v>338.37447364740797</v>
      </c>
      <c r="N117">
        <f t="shared" si="15"/>
        <v>1.7424429777631583</v>
      </c>
      <c r="S117">
        <f t="shared" si="16"/>
        <v>4.1646305701881348</v>
      </c>
    </row>
    <row r="118" spans="1:19" x14ac:dyDescent="0.25">
      <c r="A118">
        <v>18.600000000000001</v>
      </c>
      <c r="B118">
        <v>1062.0738395790399</v>
      </c>
      <c r="F118">
        <f t="shared" si="18"/>
        <v>162.35550000000001</v>
      </c>
      <c r="G118">
        <f t="shared" si="20"/>
        <v>176.9173683846895</v>
      </c>
      <c r="J118" s="1">
        <f t="shared" si="12"/>
        <v>339.2728683846895</v>
      </c>
      <c r="N118">
        <f t="shared" si="15"/>
        <v>1.7464695793157898</v>
      </c>
      <c r="S118">
        <f t="shared" si="16"/>
        <v>4.0855286159507562</v>
      </c>
    </row>
    <row r="119" spans="1:19" x14ac:dyDescent="0.25">
      <c r="A119">
        <v>18.649999999999999</v>
      </c>
      <c r="B119">
        <v>1062.61958484704</v>
      </c>
      <c r="F119">
        <f t="shared" si="18"/>
        <v>162.84599999999998</v>
      </c>
      <c r="G119">
        <f t="shared" si="20"/>
        <v>177.32526312197103</v>
      </c>
      <c r="J119" s="1">
        <f t="shared" si="12"/>
        <v>340.17126312197104</v>
      </c>
      <c r="N119">
        <f t="shared" si="15"/>
        <v>1.750496180868421</v>
      </c>
      <c r="S119">
        <f t="shared" si="16"/>
        <v>4.074142110411767</v>
      </c>
    </row>
    <row r="120" spans="1:19" x14ac:dyDescent="0.25">
      <c r="A120">
        <v>18.7</v>
      </c>
      <c r="B120">
        <v>1076.52544097552</v>
      </c>
      <c r="F120">
        <f>(A120-2.05)*9.81</f>
        <v>163.3365</v>
      </c>
      <c r="G120">
        <f t="shared" si="20"/>
        <v>177.73315785925263</v>
      </c>
      <c r="J120" s="1">
        <f t="shared" si="12"/>
        <v>341.06965785925263</v>
      </c>
      <c r="N120">
        <f t="shared" si="15"/>
        <v>1.7545227824210528</v>
      </c>
      <c r="S120">
        <f t="shared" si="16"/>
        <v>4.1379773587249087</v>
      </c>
    </row>
    <row r="121" spans="1:19" x14ac:dyDescent="0.25">
      <c r="A121">
        <v>18.75</v>
      </c>
      <c r="B121">
        <v>1090.431297004</v>
      </c>
      <c r="F121">
        <f t="shared" ref="F121:F140" si="21">(A121-2.05)*9.81</f>
        <v>163.827</v>
      </c>
      <c r="G121">
        <f t="shared" si="20"/>
        <v>178.14105259653422</v>
      </c>
      <c r="J121" s="1">
        <f t="shared" si="12"/>
        <v>341.96805259653422</v>
      </c>
      <c r="N121">
        <f t="shared" si="15"/>
        <v>1.7585493839736843</v>
      </c>
      <c r="S121">
        <f t="shared" si="16"/>
        <v>4.201520275635934</v>
      </c>
    </row>
    <row r="122" spans="1:19" x14ac:dyDescent="0.25">
      <c r="A122">
        <v>18.8</v>
      </c>
      <c r="B122">
        <v>1104.33715303248</v>
      </c>
      <c r="F122">
        <f t="shared" si="21"/>
        <v>164.3175</v>
      </c>
      <c r="G122">
        <f t="shared" si="20"/>
        <v>178.54894733381582</v>
      </c>
      <c r="J122" s="1">
        <f t="shared" si="12"/>
        <v>342.86644733381581</v>
      </c>
      <c r="N122">
        <f t="shared" si="15"/>
        <v>1.7625759855263161</v>
      </c>
      <c r="S122">
        <f t="shared" si="16"/>
        <v>4.2647728651965426</v>
      </c>
    </row>
    <row r="123" spans="1:19" x14ac:dyDescent="0.25">
      <c r="A123">
        <v>18.850000000000001</v>
      </c>
      <c r="B123">
        <v>1117.43420824489</v>
      </c>
      <c r="F123">
        <f t="shared" si="21"/>
        <v>164.80800000000002</v>
      </c>
      <c r="G123">
        <f t="shared" si="20"/>
        <v>178.95684207109738</v>
      </c>
      <c r="J123" s="1">
        <f t="shared" si="12"/>
        <v>343.76484207109741</v>
      </c>
      <c r="N123">
        <f t="shared" si="15"/>
        <v>1.7666025870789475</v>
      </c>
      <c r="S123">
        <f t="shared" si="16"/>
        <v>4.3232175826304706</v>
      </c>
    </row>
    <row r="124" spans="1:19" x14ac:dyDescent="0.25">
      <c r="A124">
        <v>18.899999999999999</v>
      </c>
      <c r="B124">
        <v>1120.6979469565299</v>
      </c>
      <c r="F124">
        <f t="shared" si="21"/>
        <v>165.29849999999999</v>
      </c>
      <c r="G124">
        <f t="shared" si="20"/>
        <v>179.36473680837895</v>
      </c>
      <c r="J124" s="1">
        <f t="shared" si="12"/>
        <v>344.66323680837894</v>
      </c>
      <c r="N124">
        <f t="shared" si="15"/>
        <v>1.770629188631579</v>
      </c>
      <c r="S124">
        <f t="shared" si="16"/>
        <v>4.3265734611882687</v>
      </c>
    </row>
    <row r="125" spans="1:19" x14ac:dyDescent="0.25">
      <c r="A125">
        <v>18.95</v>
      </c>
      <c r="B125">
        <v>1123.9616856681801</v>
      </c>
      <c r="F125">
        <f t="shared" si="21"/>
        <v>165.78899999999999</v>
      </c>
      <c r="G125">
        <f t="shared" si="20"/>
        <v>179.77263154566052</v>
      </c>
      <c r="J125" s="1">
        <f t="shared" si="12"/>
        <v>345.56163154566048</v>
      </c>
      <c r="N125">
        <f t="shared" si="15"/>
        <v>1.7746557901842104</v>
      </c>
      <c r="S125">
        <f t="shared" si="16"/>
        <v>4.3299141111188186</v>
      </c>
    </row>
    <row r="126" spans="1:19" x14ac:dyDescent="0.25">
      <c r="A126">
        <v>19</v>
      </c>
      <c r="B126">
        <v>1127.2254244798301</v>
      </c>
      <c r="F126">
        <f t="shared" si="21"/>
        <v>166.27950000000001</v>
      </c>
      <c r="G126">
        <f t="shared" si="20"/>
        <v>180.18052628294211</v>
      </c>
      <c r="J126" s="1">
        <f t="shared" si="12"/>
        <v>346.46002628294212</v>
      </c>
      <c r="N126">
        <f t="shared" si="15"/>
        <v>1.7786823917368422</v>
      </c>
      <c r="S126">
        <f t="shared" si="16"/>
        <v>4.3332396364012826</v>
      </c>
    </row>
    <row r="127" spans="1:19" x14ac:dyDescent="0.25">
      <c r="A127">
        <v>19.05</v>
      </c>
      <c r="B127">
        <v>1130.48916319148</v>
      </c>
      <c r="F127">
        <f t="shared" si="21"/>
        <v>166.77</v>
      </c>
      <c r="G127">
        <f t="shared" si="20"/>
        <v>180.58842102022371</v>
      </c>
      <c r="J127" s="1">
        <f t="shared" si="12"/>
        <v>347.35842102022372</v>
      </c>
      <c r="N127">
        <f t="shared" si="15"/>
        <v>1.782708993289474</v>
      </c>
      <c r="S127">
        <f t="shared" si="16"/>
        <v>4.3365501384142187</v>
      </c>
    </row>
    <row r="128" spans="1:19" x14ac:dyDescent="0.25">
      <c r="A128">
        <v>19.100000000000001</v>
      </c>
      <c r="B128">
        <v>1133.75290200313</v>
      </c>
      <c r="F128">
        <f t="shared" si="21"/>
        <v>167.26050000000001</v>
      </c>
      <c r="G128">
        <f t="shared" si="20"/>
        <v>180.99631575750527</v>
      </c>
      <c r="J128" s="1">
        <f t="shared" si="12"/>
        <v>348.25681575750525</v>
      </c>
      <c r="N128">
        <f t="shared" si="15"/>
        <v>1.7867355948421053</v>
      </c>
      <c r="S128">
        <f t="shared" si="16"/>
        <v>4.3398457198322999</v>
      </c>
    </row>
    <row r="129" spans="1:19" x14ac:dyDescent="0.25">
      <c r="A129">
        <v>19.149999999999999</v>
      </c>
      <c r="B129">
        <v>1137.0166407147799</v>
      </c>
      <c r="F129">
        <f t="shared" si="21"/>
        <v>167.75099999999998</v>
      </c>
      <c r="G129">
        <f t="shared" si="20"/>
        <v>181.40421049478687</v>
      </c>
      <c r="J129" s="1">
        <f t="shared" si="12"/>
        <v>349.15521049478684</v>
      </c>
      <c r="N129">
        <f t="shared" si="15"/>
        <v>1.7907621963947371</v>
      </c>
      <c r="S129">
        <f t="shared" si="16"/>
        <v>4.3431264802017058</v>
      </c>
    </row>
    <row r="130" spans="1:19" x14ac:dyDescent="0.25">
      <c r="A130">
        <v>19.2</v>
      </c>
      <c r="B130">
        <v>1140.28037942643</v>
      </c>
      <c r="F130">
        <f t="shared" si="21"/>
        <v>168.2415</v>
      </c>
      <c r="G130">
        <f t="shared" si="20"/>
        <v>181.81210523206843</v>
      </c>
      <c r="J130" s="1">
        <f t="shared" si="12"/>
        <v>350.05360523206843</v>
      </c>
      <c r="N130">
        <f t="shared" si="15"/>
        <v>1.7947887979473687</v>
      </c>
      <c r="S130">
        <f t="shared" si="16"/>
        <v>4.3463925198253497</v>
      </c>
    </row>
    <row r="131" spans="1:19" x14ac:dyDescent="0.25">
      <c r="A131">
        <v>19.25</v>
      </c>
      <c r="B131">
        <v>1143.54411823808</v>
      </c>
      <c r="F131">
        <f t="shared" si="21"/>
        <v>168.732</v>
      </c>
      <c r="G131">
        <f t="shared" si="20"/>
        <v>182.21999996935003</v>
      </c>
      <c r="J131" s="1">
        <f t="shared" ref="J131:J194" si="22">G131+F131</f>
        <v>350.95199996935003</v>
      </c>
      <c r="N131">
        <f t="shared" si="15"/>
        <v>1.7988153995000002</v>
      </c>
      <c r="S131">
        <f t="shared" si="16"/>
        <v>4.349643938108037</v>
      </c>
    </row>
    <row r="132" spans="1:19" x14ac:dyDescent="0.25">
      <c r="A132">
        <v>19.3</v>
      </c>
      <c r="B132">
        <v>1146.80785694973</v>
      </c>
      <c r="F132">
        <f t="shared" si="21"/>
        <v>169.2225</v>
      </c>
      <c r="G132">
        <f t="shared" si="20"/>
        <v>182.62789470663159</v>
      </c>
      <c r="J132" s="1">
        <f t="shared" si="22"/>
        <v>351.85039470663162</v>
      </c>
      <c r="N132">
        <f t="shared" si="15"/>
        <v>1.8028420010526318</v>
      </c>
      <c r="S132">
        <f t="shared" si="16"/>
        <v>4.3528808319238204</v>
      </c>
    </row>
    <row r="133" spans="1:19" x14ac:dyDescent="0.25">
      <c r="A133">
        <v>19.350000000000001</v>
      </c>
      <c r="B133">
        <v>1150.0715956613799</v>
      </c>
      <c r="F133">
        <f t="shared" si="21"/>
        <v>169.71300000000002</v>
      </c>
      <c r="G133">
        <f t="shared" si="20"/>
        <v>183.03578944391319</v>
      </c>
      <c r="J133" s="1">
        <f t="shared" si="22"/>
        <v>352.74878944391321</v>
      </c>
      <c r="N133">
        <f t="shared" si="15"/>
        <v>1.8068686026052636</v>
      </c>
      <c r="S133">
        <f t="shared" si="16"/>
        <v>4.3561032989222399</v>
      </c>
    </row>
    <row r="134" spans="1:19" x14ac:dyDescent="0.25">
      <c r="A134">
        <v>19.399999999999999</v>
      </c>
      <c r="B134">
        <v>1164.1573716431201</v>
      </c>
      <c r="F134">
        <f t="shared" si="21"/>
        <v>170.20349999999999</v>
      </c>
      <c r="G134">
        <f t="shared" si="20"/>
        <v>183.44368418119475</v>
      </c>
      <c r="J134" s="1">
        <f t="shared" si="22"/>
        <v>353.64718418119475</v>
      </c>
      <c r="N134">
        <f t="shared" si="15"/>
        <v>1.810895204157895</v>
      </c>
      <c r="S134">
        <f t="shared" si="16"/>
        <v>4.4183052203713462</v>
      </c>
    </row>
    <row r="135" spans="1:19" x14ac:dyDescent="0.25">
      <c r="A135">
        <v>19.45</v>
      </c>
      <c r="B135">
        <v>1290.3988054696099</v>
      </c>
      <c r="F135">
        <f t="shared" si="21"/>
        <v>170.69399999999999</v>
      </c>
      <c r="G135">
        <f t="shared" si="20"/>
        <v>183.85157891847632</v>
      </c>
      <c r="J135" s="1">
        <f t="shared" si="22"/>
        <v>354.54557891847628</v>
      </c>
      <c r="N135">
        <f t="shared" si="15"/>
        <v>1.8149218057105265</v>
      </c>
      <c r="S135">
        <f t="shared" si="16"/>
        <v>5.0902648324065289</v>
      </c>
    </row>
    <row r="136" spans="1:19" x14ac:dyDescent="0.25">
      <c r="A136">
        <v>19.5</v>
      </c>
      <c r="B136">
        <v>1416.64023939608</v>
      </c>
      <c r="F136">
        <f t="shared" si="21"/>
        <v>171.18450000000001</v>
      </c>
      <c r="G136">
        <f t="shared" si="20"/>
        <v>184.25947365575792</v>
      </c>
      <c r="J136" s="1">
        <f t="shared" si="22"/>
        <v>355.44397365575793</v>
      </c>
      <c r="N136">
        <f t="shared" si="15"/>
        <v>1.8189484072631581</v>
      </c>
      <c r="S136">
        <f t="shared" si="16"/>
        <v>5.7592494143497781</v>
      </c>
    </row>
    <row r="137" spans="1:19" x14ac:dyDescent="0.25">
      <c r="A137">
        <v>19.55</v>
      </c>
      <c r="B137">
        <v>1395.95912267739</v>
      </c>
      <c r="F137">
        <f t="shared" si="21"/>
        <v>171.67500000000001</v>
      </c>
      <c r="G137">
        <f t="shared" si="20"/>
        <v>184.66736839303948</v>
      </c>
      <c r="J137" s="1">
        <f t="shared" si="22"/>
        <v>356.34236839303946</v>
      </c>
      <c r="N137">
        <f t="shared" si="15"/>
        <v>1.8229750088157897</v>
      </c>
      <c r="S137">
        <f t="shared" si="16"/>
        <v>5.629672222715965</v>
      </c>
    </row>
    <row r="138" spans="1:19" x14ac:dyDescent="0.25">
      <c r="A138">
        <v>19.600000000000001</v>
      </c>
      <c r="B138">
        <v>1357.1190390373899</v>
      </c>
      <c r="F138">
        <f t="shared" si="21"/>
        <v>172.16550000000001</v>
      </c>
      <c r="G138">
        <f t="shared" si="20"/>
        <v>185.07526313032108</v>
      </c>
      <c r="J138" s="1">
        <f t="shared" si="22"/>
        <v>357.24076313032106</v>
      </c>
      <c r="N138">
        <f t="shared" si="15"/>
        <v>1.8270016103684212</v>
      </c>
      <c r="S138">
        <f t="shared" si="16"/>
        <v>5.4025495303659401</v>
      </c>
    </row>
    <row r="139" spans="1:19" x14ac:dyDescent="0.25">
      <c r="A139">
        <v>19.649999999999999</v>
      </c>
      <c r="B139">
        <v>1318.2789554973799</v>
      </c>
      <c r="F139">
        <f t="shared" si="21"/>
        <v>172.65599999999998</v>
      </c>
      <c r="G139">
        <f t="shared" si="20"/>
        <v>185.48315786760267</v>
      </c>
      <c r="J139" s="1">
        <f t="shared" si="22"/>
        <v>358.13915786760265</v>
      </c>
      <c r="N139">
        <f t="shared" ref="N139:N202" si="23">G139/101.3</f>
        <v>1.831028211921053</v>
      </c>
      <c r="S139">
        <f t="shared" ref="S139:S202" si="24">(B139-J139)/G139</f>
        <v>5.1764257664575792</v>
      </c>
    </row>
    <row r="140" spans="1:19" x14ac:dyDescent="0.25">
      <c r="A140">
        <v>19.7</v>
      </c>
      <c r="B140">
        <v>1279.43887185737</v>
      </c>
      <c r="F140">
        <f t="shared" si="21"/>
        <v>173.1465</v>
      </c>
      <c r="G140">
        <f>($G$112*($A$150-A140)+$G$150*(A140-$A$112))/($A$150-$A$112)</f>
        <v>185.89105260488421</v>
      </c>
      <c r="J140" s="1">
        <f t="shared" si="22"/>
        <v>359.03755260488424</v>
      </c>
      <c r="N140">
        <f t="shared" si="23"/>
        <v>1.8350548134736842</v>
      </c>
      <c r="S140">
        <f t="shared" si="24"/>
        <v>4.9512943541657188</v>
      </c>
    </row>
    <row r="141" spans="1:19" x14ac:dyDescent="0.25">
      <c r="A141">
        <v>19.75</v>
      </c>
      <c r="B141">
        <v>1240.5987882173699</v>
      </c>
      <c r="F141">
        <f>(A141-2.05)*9.81</f>
        <v>173.637</v>
      </c>
      <c r="G141">
        <f t="shared" si="20"/>
        <v>186.29894734216583</v>
      </c>
      <c r="J141" s="1">
        <f t="shared" si="22"/>
        <v>359.93594734216583</v>
      </c>
      <c r="N141">
        <f t="shared" si="23"/>
        <v>1.8390814150263162</v>
      </c>
      <c r="S141">
        <f t="shared" si="24"/>
        <v>4.727148775874376</v>
      </c>
    </row>
    <row r="142" spans="1:19" x14ac:dyDescent="0.25">
      <c r="A142">
        <v>19.8</v>
      </c>
      <c r="B142">
        <v>1217.7626840656801</v>
      </c>
      <c r="F142">
        <f t="shared" ref="F142:F154" si="25">(A142-2.05)*9.81</f>
        <v>174.1275</v>
      </c>
      <c r="G142">
        <f t="shared" si="20"/>
        <v>186.70684207944737</v>
      </c>
      <c r="J142" s="1">
        <f t="shared" si="22"/>
        <v>360.83434207944737</v>
      </c>
      <c r="N142">
        <f t="shared" si="23"/>
        <v>1.8431080165789475</v>
      </c>
      <c r="S142">
        <f t="shared" si="24"/>
        <v>4.5896997262778036</v>
      </c>
    </row>
    <row r="143" spans="1:19" x14ac:dyDescent="0.25">
      <c r="A143">
        <v>19.850000000000001</v>
      </c>
      <c r="B143">
        <v>1219.3366897901201</v>
      </c>
      <c r="F143">
        <f t="shared" si="25"/>
        <v>174.61800000000002</v>
      </c>
      <c r="G143">
        <f t="shared" si="20"/>
        <v>187.11473681672896</v>
      </c>
      <c r="J143" s="1">
        <f t="shared" si="22"/>
        <v>361.73273681672902</v>
      </c>
      <c r="N143">
        <f t="shared" si="23"/>
        <v>1.8471346181315791</v>
      </c>
      <c r="S143">
        <f t="shared" si="24"/>
        <v>4.5833052359386217</v>
      </c>
    </row>
    <row r="144" spans="1:19" x14ac:dyDescent="0.25">
      <c r="A144">
        <v>19.899999999999999</v>
      </c>
      <c r="B144">
        <v>1220.9106956145599</v>
      </c>
      <c r="F144">
        <f t="shared" si="25"/>
        <v>175.10849999999999</v>
      </c>
      <c r="G144">
        <f t="shared" si="20"/>
        <v>187.52263155401053</v>
      </c>
      <c r="J144" s="1">
        <f t="shared" si="22"/>
        <v>362.63113155401049</v>
      </c>
      <c r="N144">
        <f t="shared" si="23"/>
        <v>1.8511612196842107</v>
      </c>
      <c r="S144">
        <f t="shared" si="24"/>
        <v>4.5769385644172047</v>
      </c>
    </row>
    <row r="145" spans="1:19" x14ac:dyDescent="0.25">
      <c r="A145">
        <v>19.95</v>
      </c>
      <c r="B145">
        <v>1222.4847013389999</v>
      </c>
      <c r="F145">
        <f t="shared" si="25"/>
        <v>175.59899999999999</v>
      </c>
      <c r="G145">
        <f t="shared" si="20"/>
        <v>187.93052629129213</v>
      </c>
      <c r="J145" s="1">
        <f t="shared" si="22"/>
        <v>363.52952629129209</v>
      </c>
      <c r="N145">
        <f t="shared" si="23"/>
        <v>1.8551878212368424</v>
      </c>
      <c r="S145">
        <f t="shared" si="24"/>
        <v>4.5705995295108588</v>
      </c>
    </row>
    <row r="146" spans="1:19" x14ac:dyDescent="0.25">
      <c r="A146">
        <v>20</v>
      </c>
      <c r="B146">
        <v>1224.0587070634399</v>
      </c>
      <c r="F146">
        <f t="shared" si="25"/>
        <v>176.08950000000002</v>
      </c>
      <c r="G146">
        <f t="shared" si="20"/>
        <v>188.33842102857372</v>
      </c>
      <c r="J146" s="1">
        <f t="shared" si="22"/>
        <v>364.42792102857373</v>
      </c>
      <c r="N146">
        <f t="shared" si="23"/>
        <v>1.859214422789474</v>
      </c>
      <c r="S146">
        <f t="shared" si="24"/>
        <v>4.5642879521881916</v>
      </c>
    </row>
    <row r="147" spans="1:19" x14ac:dyDescent="0.25">
      <c r="A147">
        <v>20.05</v>
      </c>
      <c r="B147">
        <v>1225.63271288788</v>
      </c>
      <c r="F147">
        <f t="shared" si="25"/>
        <v>176.58</v>
      </c>
      <c r="G147">
        <f t="shared" si="20"/>
        <v>188.74631576585529</v>
      </c>
      <c r="J147" s="1">
        <f t="shared" si="22"/>
        <v>365.32631576585527</v>
      </c>
      <c r="N147">
        <f t="shared" si="23"/>
        <v>1.8632410243421056</v>
      </c>
      <c r="S147">
        <f t="shared" si="24"/>
        <v>4.5580036549654146</v>
      </c>
    </row>
    <row r="148" spans="1:19" x14ac:dyDescent="0.25">
      <c r="A148">
        <v>20.100000000000001</v>
      </c>
      <c r="B148">
        <v>1227.2067186123199</v>
      </c>
      <c r="F148">
        <f t="shared" si="25"/>
        <v>177.07050000000001</v>
      </c>
      <c r="G148">
        <f t="shared" si="20"/>
        <v>189.15421050313688</v>
      </c>
      <c r="J148" s="1">
        <f t="shared" si="22"/>
        <v>366.22471050313686</v>
      </c>
      <c r="N148">
        <f t="shared" si="23"/>
        <v>1.8672676258947374</v>
      </c>
      <c r="S148">
        <f t="shared" si="24"/>
        <v>4.5517464603036411</v>
      </c>
    </row>
    <row r="149" spans="1:19" x14ac:dyDescent="0.25">
      <c r="A149">
        <v>20.149999999999999</v>
      </c>
      <c r="B149">
        <v>1228.7807243367699</v>
      </c>
      <c r="F149">
        <f t="shared" si="25"/>
        <v>177.56099999999998</v>
      </c>
      <c r="G149">
        <f t="shared" si="20"/>
        <v>189.56210524041842</v>
      </c>
      <c r="J149" s="1">
        <f t="shared" si="22"/>
        <v>367.1231052404184</v>
      </c>
      <c r="N149">
        <f t="shared" si="23"/>
        <v>1.8712942274473685</v>
      </c>
      <c r="S149">
        <f t="shared" si="24"/>
        <v>4.5455161937747297</v>
      </c>
    </row>
    <row r="150" spans="1:19" x14ac:dyDescent="0.25">
      <c r="A150">
        <v>20.2</v>
      </c>
      <c r="B150">
        <v>1228.7692697300599</v>
      </c>
      <c r="C150" s="1">
        <v>38.11</v>
      </c>
      <c r="D150" s="1">
        <v>20.8</v>
      </c>
      <c r="E150" s="1">
        <v>32.999999995960003</v>
      </c>
      <c r="F150">
        <f t="shared" si="25"/>
        <v>178.0515</v>
      </c>
      <c r="G150" s="1">
        <v>189.96999997770001</v>
      </c>
      <c r="H150" s="2"/>
      <c r="I150" s="1">
        <v>60.517449957076003</v>
      </c>
      <c r="J150" s="1">
        <f t="shared" si="22"/>
        <v>368.02149997770005</v>
      </c>
      <c r="K150">
        <f>C150</f>
        <v>38.11</v>
      </c>
      <c r="L150">
        <f>C150-D150</f>
        <v>17.309999999999999</v>
      </c>
      <c r="M150">
        <f>(E150-D150)/L150</f>
        <v>0.70479491600000022</v>
      </c>
      <c r="N150">
        <f t="shared" si="23"/>
        <v>1.8753208290000001</v>
      </c>
      <c r="P150">
        <f>I150/G150</f>
        <v>0.31856319399999977</v>
      </c>
      <c r="S150">
        <f t="shared" si="24"/>
        <v>4.5309668360972806</v>
      </c>
    </row>
    <row r="151" spans="1:19" x14ac:dyDescent="0.25">
      <c r="A151">
        <v>20.25</v>
      </c>
      <c r="B151">
        <v>1228.1011062784401</v>
      </c>
      <c r="F151">
        <f t="shared" si="25"/>
        <v>178.542</v>
      </c>
      <c r="G151">
        <f>($G$150*($A$200-A151)+$G$200*(A151-$A$150))/($A$200-$A$150)</f>
        <v>190.38779997762603</v>
      </c>
      <c r="J151" s="1">
        <f t="shared" si="22"/>
        <v>368.92979997762603</v>
      </c>
      <c r="N151">
        <f t="shared" si="23"/>
        <v>1.8794452120200003</v>
      </c>
      <c r="S151">
        <f t="shared" si="24"/>
        <v>4.5127434972292448</v>
      </c>
    </row>
    <row r="152" spans="1:19" x14ac:dyDescent="0.25">
      <c r="A152">
        <v>20.3</v>
      </c>
      <c r="B152">
        <v>1227.4329428268099</v>
      </c>
      <c r="F152">
        <f t="shared" si="25"/>
        <v>179.0325</v>
      </c>
      <c r="G152">
        <f t="shared" ref="G152:G199" si="26">($G$150*($A$200-A152)+$G$200*(A152-$A$150))/($A$200-$A$150)</f>
        <v>190.80559997755202</v>
      </c>
      <c r="J152" s="1">
        <f t="shared" si="22"/>
        <v>369.83809997755202</v>
      </c>
      <c r="N152">
        <f t="shared" si="23"/>
        <v>1.8835695950400002</v>
      </c>
      <c r="S152">
        <f t="shared" si="24"/>
        <v>4.4945999643100238</v>
      </c>
    </row>
    <row r="153" spans="1:19" x14ac:dyDescent="0.25">
      <c r="A153">
        <v>20.350000000000001</v>
      </c>
      <c r="B153">
        <v>1226.7647793751901</v>
      </c>
      <c r="F153">
        <f t="shared" si="25"/>
        <v>179.52300000000002</v>
      </c>
      <c r="G153">
        <f t="shared" si="26"/>
        <v>191.22339997747804</v>
      </c>
      <c r="J153" s="1">
        <f t="shared" si="22"/>
        <v>370.74639997747806</v>
      </c>
      <c r="N153">
        <f t="shared" si="23"/>
        <v>1.8876939780600004</v>
      </c>
      <c r="S153">
        <f t="shared" si="24"/>
        <v>4.4765357142406863</v>
      </c>
    </row>
    <row r="154" spans="1:19" x14ac:dyDescent="0.25">
      <c r="A154">
        <v>20.399999999999999</v>
      </c>
      <c r="B154">
        <v>1226.09661592357</v>
      </c>
      <c r="F154">
        <f t="shared" si="25"/>
        <v>180.01349999999999</v>
      </c>
      <c r="G154">
        <f t="shared" si="26"/>
        <v>191.64119997740403</v>
      </c>
      <c r="J154" s="1">
        <f t="shared" si="22"/>
        <v>371.65469997740399</v>
      </c>
      <c r="N154">
        <f t="shared" si="23"/>
        <v>1.8918183610800003</v>
      </c>
      <c r="S154">
        <f t="shared" si="24"/>
        <v>4.4585502284838086</v>
      </c>
    </row>
    <row r="155" spans="1:19" x14ac:dyDescent="0.25">
      <c r="A155">
        <v>20.45</v>
      </c>
      <c r="B155">
        <v>1225.4284524719401</v>
      </c>
      <c r="F155">
        <f>(A155-2.05)*9.81</f>
        <v>180.50399999999999</v>
      </c>
      <c r="G155">
        <f t="shared" si="26"/>
        <v>192.05899997732999</v>
      </c>
      <c r="J155" s="1">
        <f t="shared" si="22"/>
        <v>372.56299997732998</v>
      </c>
      <c r="N155">
        <f t="shared" si="23"/>
        <v>1.8959427440999999</v>
      </c>
      <c r="S155">
        <f t="shared" si="24"/>
        <v>4.440642993014019</v>
      </c>
    </row>
    <row r="156" spans="1:19" x14ac:dyDescent="0.25">
      <c r="A156">
        <v>20.5</v>
      </c>
      <c r="B156">
        <v>1222.1579621359199</v>
      </c>
      <c r="F156">
        <f t="shared" ref="F156:F173" si="27">(A156-2.05)*9.81</f>
        <v>180.99450000000002</v>
      </c>
      <c r="G156">
        <f t="shared" si="26"/>
        <v>192.47679997725601</v>
      </c>
      <c r="J156" s="1">
        <f t="shared" si="22"/>
        <v>373.47129997725602</v>
      </c>
      <c r="N156">
        <f t="shared" si="23"/>
        <v>1.90006712712</v>
      </c>
      <c r="S156">
        <f t="shared" si="24"/>
        <v>4.409293287601149</v>
      </c>
    </row>
    <row r="157" spans="1:19" x14ac:dyDescent="0.25">
      <c r="A157">
        <v>20.55</v>
      </c>
      <c r="B157">
        <v>1197.8322815534</v>
      </c>
      <c r="F157">
        <f t="shared" si="27"/>
        <v>181.48500000000001</v>
      </c>
      <c r="G157">
        <f t="shared" si="26"/>
        <v>192.89459997718205</v>
      </c>
      <c r="J157" s="1">
        <f t="shared" si="22"/>
        <v>374.37959997718207</v>
      </c>
      <c r="N157">
        <f t="shared" si="23"/>
        <v>1.9041915101400007</v>
      </c>
      <c r="S157">
        <f t="shared" si="24"/>
        <v>4.2689255255130316</v>
      </c>
    </row>
    <row r="158" spans="1:19" x14ac:dyDescent="0.25">
      <c r="A158">
        <v>20.6</v>
      </c>
      <c r="B158">
        <v>1173.5066009708701</v>
      </c>
      <c r="F158">
        <f t="shared" si="27"/>
        <v>181.97550000000001</v>
      </c>
      <c r="G158">
        <f t="shared" si="26"/>
        <v>193.31239997710802</v>
      </c>
      <c r="J158" s="1">
        <f t="shared" si="22"/>
        <v>375.28789997710805</v>
      </c>
      <c r="N158">
        <f t="shared" si="23"/>
        <v>1.9083158931600002</v>
      </c>
      <c r="S158">
        <f t="shared" si="24"/>
        <v>4.1291645082689303</v>
      </c>
    </row>
    <row r="159" spans="1:19" x14ac:dyDescent="0.25">
      <c r="A159">
        <v>20.65</v>
      </c>
      <c r="B159">
        <v>1149.1809203883499</v>
      </c>
      <c r="F159">
        <f t="shared" si="27"/>
        <v>182.46599999999998</v>
      </c>
      <c r="G159">
        <f t="shared" si="26"/>
        <v>193.730199977034</v>
      </c>
      <c r="J159" s="1">
        <f t="shared" si="22"/>
        <v>376.19619997703398</v>
      </c>
      <c r="N159">
        <f t="shared" si="23"/>
        <v>1.9124402761800001</v>
      </c>
      <c r="S159">
        <f t="shared" si="24"/>
        <v>3.990006310337523</v>
      </c>
    </row>
    <row r="160" spans="1:19" x14ac:dyDescent="0.25">
      <c r="A160">
        <v>20.7</v>
      </c>
      <c r="B160">
        <v>1140.0064749636099</v>
      </c>
      <c r="F160">
        <f t="shared" si="27"/>
        <v>182.95650000000001</v>
      </c>
      <c r="G160">
        <f t="shared" si="26"/>
        <v>194.14799997695999</v>
      </c>
      <c r="J160" s="1">
        <f t="shared" si="22"/>
        <v>377.10449997696003</v>
      </c>
      <c r="N160">
        <f t="shared" si="23"/>
        <v>1.9165646592000001</v>
      </c>
      <c r="S160">
        <f t="shared" si="24"/>
        <v>3.9294866549085503</v>
      </c>
    </row>
    <row r="161" spans="1:19" x14ac:dyDescent="0.25">
      <c r="A161">
        <v>20.75</v>
      </c>
      <c r="B161">
        <v>1134.2941053857401</v>
      </c>
      <c r="F161">
        <f t="shared" si="27"/>
        <v>183.447</v>
      </c>
      <c r="G161">
        <f t="shared" si="26"/>
        <v>194.56579997688601</v>
      </c>
      <c r="J161" s="1">
        <f t="shared" si="22"/>
        <v>378.01279997688601</v>
      </c>
      <c r="N161">
        <f t="shared" si="23"/>
        <v>1.9206890422200003</v>
      </c>
      <c r="S161">
        <f t="shared" si="24"/>
        <v>3.8870207688026288</v>
      </c>
    </row>
    <row r="162" spans="1:19" x14ac:dyDescent="0.25">
      <c r="A162">
        <v>20.8</v>
      </c>
      <c r="B162">
        <v>1128.58173580786</v>
      </c>
      <c r="F162">
        <f t="shared" si="27"/>
        <v>183.9375</v>
      </c>
      <c r="G162">
        <f t="shared" si="26"/>
        <v>194.98359997681203</v>
      </c>
      <c r="J162" s="1">
        <f t="shared" si="22"/>
        <v>378.921099976812</v>
      </c>
      <c r="N162">
        <f t="shared" si="23"/>
        <v>1.9248134252400004</v>
      </c>
      <c r="S162">
        <f t="shared" si="24"/>
        <v>3.8447368697685325</v>
      </c>
    </row>
    <row r="163" spans="1:19" x14ac:dyDescent="0.25">
      <c r="A163">
        <v>20.85</v>
      </c>
      <c r="B163">
        <v>1122.86936622999</v>
      </c>
      <c r="F163">
        <f t="shared" si="27"/>
        <v>184.42800000000003</v>
      </c>
      <c r="G163">
        <f t="shared" si="26"/>
        <v>195.40139997673805</v>
      </c>
      <c r="J163" s="1">
        <f t="shared" si="22"/>
        <v>379.82939997673805</v>
      </c>
      <c r="N163">
        <f t="shared" si="23"/>
        <v>1.9289378082600006</v>
      </c>
      <c r="S163">
        <f t="shared" si="24"/>
        <v>3.8026337904524152</v>
      </c>
    </row>
    <row r="164" spans="1:19" x14ac:dyDescent="0.25">
      <c r="A164">
        <v>20.9</v>
      </c>
      <c r="B164">
        <v>1117.1569966521099</v>
      </c>
      <c r="F164">
        <f t="shared" si="27"/>
        <v>184.91849999999999</v>
      </c>
      <c r="G164">
        <f t="shared" si="26"/>
        <v>195.81919997666401</v>
      </c>
      <c r="J164" s="1">
        <f t="shared" si="22"/>
        <v>380.73769997666398</v>
      </c>
      <c r="N164">
        <f t="shared" si="23"/>
        <v>1.9330621912800001</v>
      </c>
      <c r="S164">
        <f t="shared" si="24"/>
        <v>3.7607103734628975</v>
      </c>
    </row>
    <row r="165" spans="1:19" x14ac:dyDescent="0.25">
      <c r="A165">
        <v>20.95</v>
      </c>
      <c r="B165">
        <v>1146.64051865332</v>
      </c>
      <c r="F165">
        <f t="shared" si="27"/>
        <v>185.40899999999999</v>
      </c>
      <c r="G165">
        <f t="shared" si="26"/>
        <v>196.23699997659003</v>
      </c>
      <c r="J165" s="1">
        <f t="shared" si="22"/>
        <v>381.64599997659002</v>
      </c>
      <c r="N165">
        <f t="shared" si="23"/>
        <v>1.9371865743000003</v>
      </c>
      <c r="S165">
        <f t="shared" si="24"/>
        <v>3.8983194747575101</v>
      </c>
    </row>
    <row r="166" spans="1:19" x14ac:dyDescent="0.25">
      <c r="A166">
        <v>21</v>
      </c>
      <c r="B166">
        <v>1251.60705341219</v>
      </c>
      <c r="F166">
        <f t="shared" si="27"/>
        <v>185.89949999999999</v>
      </c>
      <c r="G166">
        <f t="shared" si="26"/>
        <v>196.65479997651602</v>
      </c>
      <c r="J166" s="1">
        <f t="shared" si="22"/>
        <v>382.55429997651601</v>
      </c>
      <c r="N166">
        <f t="shared" si="23"/>
        <v>1.9413109573200003</v>
      </c>
      <c r="S166">
        <f t="shared" si="24"/>
        <v>4.419178954896875</v>
      </c>
    </row>
    <row r="167" spans="1:19" x14ac:dyDescent="0.25">
      <c r="A167">
        <v>21.05</v>
      </c>
      <c r="B167">
        <v>1342.8376564251901</v>
      </c>
      <c r="F167">
        <f t="shared" si="27"/>
        <v>186.39000000000001</v>
      </c>
      <c r="G167">
        <f t="shared" si="26"/>
        <v>197.07259997644204</v>
      </c>
      <c r="J167" s="1">
        <f t="shared" si="22"/>
        <v>383.46259997644205</v>
      </c>
      <c r="N167">
        <f t="shared" si="23"/>
        <v>1.9454353403400004</v>
      </c>
      <c r="S167">
        <f t="shared" si="24"/>
        <v>4.8681301031367692</v>
      </c>
    </row>
    <row r="168" spans="1:19" x14ac:dyDescent="0.25">
      <c r="A168">
        <v>21.1</v>
      </c>
      <c r="B168">
        <v>1333.33809330178</v>
      </c>
      <c r="F168">
        <f t="shared" si="27"/>
        <v>186.88050000000001</v>
      </c>
      <c r="G168">
        <f t="shared" si="26"/>
        <v>197.49039997636802</v>
      </c>
      <c r="J168" s="1">
        <f t="shared" si="22"/>
        <v>384.37089997636804</v>
      </c>
      <c r="N168">
        <f t="shared" si="23"/>
        <v>1.9495597233600004</v>
      </c>
      <c r="S168">
        <f t="shared" si="24"/>
        <v>4.8051307478184597</v>
      </c>
    </row>
    <row r="169" spans="1:19" x14ac:dyDescent="0.25">
      <c r="A169">
        <v>21.15</v>
      </c>
      <c r="B169">
        <v>1323.8385301783801</v>
      </c>
      <c r="F169">
        <f t="shared" si="27"/>
        <v>187.37099999999998</v>
      </c>
      <c r="G169">
        <f t="shared" si="26"/>
        <v>197.90819997629401</v>
      </c>
      <c r="J169" s="1">
        <f t="shared" si="22"/>
        <v>385.27919997629397</v>
      </c>
      <c r="N169">
        <f t="shared" si="23"/>
        <v>1.9536841063800001</v>
      </c>
      <c r="S169">
        <f t="shared" si="24"/>
        <v>4.7423973858309525</v>
      </c>
    </row>
    <row r="170" spans="1:19" x14ac:dyDescent="0.25">
      <c r="A170">
        <v>21.2</v>
      </c>
      <c r="B170">
        <v>1314.33896705497</v>
      </c>
      <c r="F170">
        <f t="shared" si="27"/>
        <v>187.86150000000001</v>
      </c>
      <c r="G170">
        <f t="shared" si="26"/>
        <v>198.32599997622</v>
      </c>
      <c r="J170" s="1">
        <f t="shared" si="22"/>
        <v>386.18749997622001</v>
      </c>
      <c r="N170">
        <f t="shared" si="23"/>
        <v>1.9578084894000001</v>
      </c>
      <c r="S170">
        <f t="shared" si="24"/>
        <v>4.6799283361235471</v>
      </c>
    </row>
    <row r="171" spans="1:19" x14ac:dyDescent="0.25">
      <c r="A171">
        <v>21.25</v>
      </c>
      <c r="B171">
        <v>1304.8394039315599</v>
      </c>
      <c r="F171">
        <f t="shared" si="27"/>
        <v>188.352</v>
      </c>
      <c r="G171">
        <f t="shared" si="26"/>
        <v>198.74379997614602</v>
      </c>
      <c r="J171" s="1">
        <f t="shared" si="22"/>
        <v>387.09579997614605</v>
      </c>
      <c r="N171">
        <f t="shared" si="23"/>
        <v>1.9619328724200003</v>
      </c>
      <c r="S171">
        <f t="shared" si="24"/>
        <v>4.6177219317813432</v>
      </c>
    </row>
    <row r="172" spans="1:19" x14ac:dyDescent="0.25">
      <c r="A172">
        <v>21.3</v>
      </c>
      <c r="B172">
        <v>1295.33984080815</v>
      </c>
      <c r="F172">
        <f t="shared" si="27"/>
        <v>188.8425</v>
      </c>
      <c r="G172">
        <f t="shared" si="26"/>
        <v>199.16159997607201</v>
      </c>
      <c r="J172" s="1">
        <f t="shared" si="22"/>
        <v>388.00409997607198</v>
      </c>
      <c r="N172">
        <f t="shared" si="23"/>
        <v>1.9660572554400002</v>
      </c>
      <c r="S172">
        <f t="shared" si="24"/>
        <v>4.5557765198767664</v>
      </c>
    </row>
    <row r="173" spans="1:19" x14ac:dyDescent="0.25">
      <c r="A173">
        <v>21.35</v>
      </c>
      <c r="B173">
        <v>1300.0555595194801</v>
      </c>
      <c r="F173">
        <f t="shared" si="27"/>
        <v>189.33300000000003</v>
      </c>
      <c r="G173">
        <f t="shared" si="26"/>
        <v>199.57939997599803</v>
      </c>
      <c r="J173" s="1">
        <f t="shared" si="22"/>
        <v>388.91239997599803</v>
      </c>
      <c r="N173">
        <f t="shared" si="23"/>
        <v>1.9701816384600004</v>
      </c>
      <c r="S173">
        <f t="shared" si="24"/>
        <v>4.5653166591995902</v>
      </c>
    </row>
    <row r="174" spans="1:19" x14ac:dyDescent="0.25">
      <c r="A174">
        <v>21.4</v>
      </c>
      <c r="B174">
        <v>1313.26411434292</v>
      </c>
      <c r="F174">
        <f>(A174-2.05)*9.81</f>
        <v>189.8235</v>
      </c>
      <c r="G174">
        <f t="shared" si="26"/>
        <v>199.99719997592402</v>
      </c>
      <c r="J174" s="1">
        <f t="shared" si="22"/>
        <v>389.82069997592401</v>
      </c>
      <c r="N174">
        <f t="shared" si="23"/>
        <v>1.9743060214800003</v>
      </c>
      <c r="S174">
        <f t="shared" si="24"/>
        <v>4.6172817143348084</v>
      </c>
    </row>
    <row r="175" spans="1:19" x14ac:dyDescent="0.25">
      <c r="A175">
        <v>21.45</v>
      </c>
      <c r="B175">
        <v>1326.47266916636</v>
      </c>
      <c r="F175">
        <f t="shared" ref="F175:F191" si="28">(A175-2.05)*9.81</f>
        <v>190.31399999999999</v>
      </c>
      <c r="G175">
        <f t="shared" si="26"/>
        <v>200.41499997585001</v>
      </c>
      <c r="J175" s="1">
        <f t="shared" si="22"/>
        <v>390.72899997585</v>
      </c>
      <c r="N175">
        <f t="shared" si="23"/>
        <v>1.9784304045000001</v>
      </c>
      <c r="S175">
        <f t="shared" si="24"/>
        <v>4.6690301090400768</v>
      </c>
    </row>
    <row r="176" spans="1:19" x14ac:dyDescent="0.25">
      <c r="A176">
        <v>21.5</v>
      </c>
      <c r="B176">
        <v>1339.68122398981</v>
      </c>
      <c r="F176">
        <f t="shared" si="28"/>
        <v>190.80449999999999</v>
      </c>
      <c r="G176">
        <f>($G$150*($A$200-A176)+$G$200*(A176-$A$150))/($A$200-$A$150)</f>
        <v>200.83279997577603</v>
      </c>
      <c r="J176" s="1">
        <f t="shared" si="22"/>
        <v>391.63729997577605</v>
      </c>
      <c r="N176">
        <f t="shared" si="23"/>
        <v>1.9825547875200003</v>
      </c>
      <c r="S176">
        <f t="shared" si="24"/>
        <v>4.7205631954958784</v>
      </c>
    </row>
    <row r="177" spans="1:19" x14ac:dyDescent="0.25">
      <c r="A177">
        <v>21.55</v>
      </c>
      <c r="B177">
        <v>1352.8897788132499</v>
      </c>
      <c r="F177">
        <f t="shared" si="28"/>
        <v>191.29500000000002</v>
      </c>
      <c r="G177">
        <f t="shared" si="26"/>
        <v>201.25059997570202</v>
      </c>
      <c r="J177" s="1">
        <f t="shared" si="22"/>
        <v>392.54559997570203</v>
      </c>
      <c r="N177">
        <f t="shared" si="23"/>
        <v>1.9866791705400002</v>
      </c>
      <c r="S177">
        <f t="shared" si="24"/>
        <v>4.7718823146539435</v>
      </c>
    </row>
    <row r="178" spans="1:19" x14ac:dyDescent="0.25">
      <c r="A178">
        <v>21.6</v>
      </c>
      <c r="B178">
        <v>1365.8274497725199</v>
      </c>
      <c r="F178">
        <f t="shared" si="28"/>
        <v>191.78550000000001</v>
      </c>
      <c r="G178">
        <f t="shared" si="26"/>
        <v>201.66839997562801</v>
      </c>
      <c r="J178" s="1">
        <f t="shared" si="22"/>
        <v>393.45389997562802</v>
      </c>
      <c r="N178">
        <f t="shared" si="23"/>
        <v>1.9908035535600002</v>
      </c>
      <c r="S178">
        <f t="shared" si="24"/>
        <v>4.8216455821259308</v>
      </c>
    </row>
    <row r="179" spans="1:19" x14ac:dyDescent="0.25">
      <c r="A179">
        <v>21.65</v>
      </c>
      <c r="B179">
        <v>1376.9838541097999</v>
      </c>
      <c r="F179">
        <f t="shared" si="28"/>
        <v>192.27599999999998</v>
      </c>
      <c r="G179">
        <f t="shared" si="26"/>
        <v>202.08619997555402</v>
      </c>
      <c r="J179" s="1">
        <f t="shared" si="22"/>
        <v>394.36219997555401</v>
      </c>
      <c r="N179">
        <f t="shared" si="23"/>
        <v>1.9949279365800003</v>
      </c>
      <c r="S179">
        <f t="shared" si="24"/>
        <v>4.8623886947902024</v>
      </c>
    </row>
    <row r="180" spans="1:19" x14ac:dyDescent="0.25">
      <c r="A180">
        <v>21.7</v>
      </c>
      <c r="B180">
        <v>1388.14025844707</v>
      </c>
      <c r="F180">
        <f t="shared" si="28"/>
        <v>192.76650000000001</v>
      </c>
      <c r="G180">
        <f t="shared" si="26"/>
        <v>202.50399997548001</v>
      </c>
      <c r="J180" s="1">
        <f t="shared" si="22"/>
        <v>395.27049997547999</v>
      </c>
      <c r="N180">
        <f t="shared" si="23"/>
        <v>1.9990523196000003</v>
      </c>
      <c r="S180">
        <f t="shared" si="24"/>
        <v>4.9029636875904208</v>
      </c>
    </row>
    <row r="181" spans="1:19" x14ac:dyDescent="0.25">
      <c r="A181">
        <v>21.75</v>
      </c>
      <c r="B181">
        <v>1399.29666278435</v>
      </c>
      <c r="F181">
        <f t="shared" si="28"/>
        <v>193.25700000000001</v>
      </c>
      <c r="G181">
        <f t="shared" si="26"/>
        <v>202.92179997540603</v>
      </c>
      <c r="J181" s="1">
        <f t="shared" si="22"/>
        <v>396.17879997540604</v>
      </c>
      <c r="N181">
        <f t="shared" si="23"/>
        <v>2.0031767026200002</v>
      </c>
      <c r="S181">
        <f t="shared" si="24"/>
        <v>4.94337159896335</v>
      </c>
    </row>
    <row r="182" spans="1:19" x14ac:dyDescent="0.25">
      <c r="A182">
        <v>21.8</v>
      </c>
      <c r="B182">
        <v>1410.4530671216301</v>
      </c>
      <c r="F182">
        <f t="shared" si="28"/>
        <v>193.7475</v>
      </c>
      <c r="G182">
        <f t="shared" si="26"/>
        <v>203.33959997533202</v>
      </c>
      <c r="J182" s="1">
        <f t="shared" si="22"/>
        <v>397.08709997533202</v>
      </c>
      <c r="N182">
        <f t="shared" si="23"/>
        <v>2.0073010856400004</v>
      </c>
      <c r="S182">
        <f t="shared" si="24"/>
        <v>4.983613458810944</v>
      </c>
    </row>
    <row r="183" spans="1:19" x14ac:dyDescent="0.25">
      <c r="A183">
        <v>21.85</v>
      </c>
      <c r="B183">
        <v>1421.6094714589001</v>
      </c>
      <c r="F183">
        <f t="shared" si="28"/>
        <v>194.23800000000003</v>
      </c>
      <c r="G183">
        <f t="shared" si="26"/>
        <v>203.75739997525801</v>
      </c>
      <c r="J183" s="1">
        <f t="shared" si="22"/>
        <v>397.99539997525801</v>
      </c>
      <c r="N183">
        <f t="shared" si="23"/>
        <v>2.0114254686600002</v>
      </c>
      <c r="S183">
        <f t="shared" si="24"/>
        <v>5.0236902885879884</v>
      </c>
    </row>
    <row r="184" spans="1:19" x14ac:dyDescent="0.25">
      <c r="A184">
        <v>21.9</v>
      </c>
      <c r="B184">
        <v>1432.7658757961799</v>
      </c>
      <c r="F184">
        <f t="shared" si="28"/>
        <v>194.7285</v>
      </c>
      <c r="G184">
        <f t="shared" si="26"/>
        <v>204.175199975184</v>
      </c>
      <c r="J184" s="1">
        <f t="shared" si="22"/>
        <v>398.903699975184</v>
      </c>
      <c r="N184">
        <f t="shared" si="23"/>
        <v>2.0155498516799999</v>
      </c>
      <c r="S184">
        <f t="shared" si="24"/>
        <v>5.0636031013886811</v>
      </c>
    </row>
    <row r="185" spans="1:19" x14ac:dyDescent="0.25">
      <c r="A185">
        <v>21.95</v>
      </c>
      <c r="B185">
        <v>1431.28236621769</v>
      </c>
      <c r="F185">
        <f t="shared" si="28"/>
        <v>195.21899999999999</v>
      </c>
      <c r="G185">
        <f t="shared" si="26"/>
        <v>204.59299997511002</v>
      </c>
      <c r="J185" s="1">
        <f t="shared" si="22"/>
        <v>399.81199997510998</v>
      </c>
      <c r="N185">
        <f t="shared" si="23"/>
        <v>2.0196742347000001</v>
      </c>
      <c r="S185">
        <f t="shared" si="24"/>
        <v>5.0415721279225814</v>
      </c>
    </row>
    <row r="186" spans="1:19" x14ac:dyDescent="0.25">
      <c r="A186">
        <v>22</v>
      </c>
      <c r="B186">
        <v>1418.9445067710201</v>
      </c>
      <c r="F186">
        <f t="shared" si="28"/>
        <v>195.70949999999999</v>
      </c>
      <c r="G186">
        <f t="shared" si="26"/>
        <v>205.01079997503604</v>
      </c>
      <c r="J186" s="1">
        <f t="shared" si="22"/>
        <v>400.72029997503603</v>
      </c>
      <c r="N186">
        <f t="shared" si="23"/>
        <v>2.0237986177200002</v>
      </c>
      <c r="S186">
        <f t="shared" si="24"/>
        <v>4.9666856912902748</v>
      </c>
    </row>
    <row r="187" spans="1:19" x14ac:dyDescent="0.25">
      <c r="A187">
        <v>22.05</v>
      </c>
      <c r="B187">
        <v>1406.60664732435</v>
      </c>
      <c r="F187">
        <f t="shared" si="28"/>
        <v>196.20000000000002</v>
      </c>
      <c r="G187">
        <f t="shared" si="26"/>
        <v>205.42859997496203</v>
      </c>
      <c r="J187" s="1">
        <f t="shared" si="22"/>
        <v>401.62859997496207</v>
      </c>
      <c r="N187">
        <f t="shared" si="23"/>
        <v>2.0279230007400004</v>
      </c>
      <c r="S187">
        <f t="shared" si="24"/>
        <v>4.8921038622269553</v>
      </c>
    </row>
    <row r="188" spans="1:19" x14ac:dyDescent="0.25">
      <c r="A188">
        <v>22.1</v>
      </c>
      <c r="B188">
        <v>1394.2687878776801</v>
      </c>
      <c r="F188">
        <f t="shared" si="28"/>
        <v>196.69050000000001</v>
      </c>
      <c r="G188">
        <f t="shared" si="26"/>
        <v>205.84639997488802</v>
      </c>
      <c r="J188" s="1">
        <f t="shared" si="22"/>
        <v>402.536899974888</v>
      </c>
      <c r="N188">
        <f t="shared" si="23"/>
        <v>2.0320473837600002</v>
      </c>
      <c r="S188">
        <f t="shared" si="24"/>
        <v>4.8178247859752572</v>
      </c>
    </row>
    <row r="189" spans="1:19" x14ac:dyDescent="0.25">
      <c r="A189">
        <v>22.15</v>
      </c>
      <c r="B189">
        <v>1381.93092843102</v>
      </c>
      <c r="F189">
        <f t="shared" si="28"/>
        <v>197.18099999999998</v>
      </c>
      <c r="G189">
        <f t="shared" si="26"/>
        <v>206.26419997481398</v>
      </c>
      <c r="J189" s="1">
        <f t="shared" si="22"/>
        <v>403.44519997481393</v>
      </c>
      <c r="N189">
        <f t="shared" si="23"/>
        <v>2.0361717667799999</v>
      </c>
      <c r="S189">
        <f t="shared" si="24"/>
        <v>4.7438466228055312</v>
      </c>
    </row>
    <row r="190" spans="1:19" x14ac:dyDescent="0.25">
      <c r="A190">
        <v>22.2</v>
      </c>
      <c r="B190">
        <v>1372.3090872611499</v>
      </c>
      <c r="F190">
        <f t="shared" si="28"/>
        <v>197.67150000000001</v>
      </c>
      <c r="G190">
        <f t="shared" si="26"/>
        <v>206.68199997474002</v>
      </c>
      <c r="J190" s="1">
        <f t="shared" si="22"/>
        <v>404.35349997474003</v>
      </c>
      <c r="N190">
        <f t="shared" si="23"/>
        <v>2.0402961498000001</v>
      </c>
      <c r="S190">
        <f t="shared" si="24"/>
        <v>4.6833085968043182</v>
      </c>
    </row>
    <row r="191" spans="1:19" x14ac:dyDescent="0.25">
      <c r="A191">
        <v>22.25</v>
      </c>
      <c r="B191">
        <v>1421.69891592357</v>
      </c>
      <c r="F191">
        <f t="shared" si="28"/>
        <v>198.16200000000001</v>
      </c>
      <c r="G191">
        <f>($G$150*($A$200-A191)+$G$200*(A191-$A$150))/($A$200-$A$150)</f>
        <v>207.09979997466604</v>
      </c>
      <c r="J191" s="1">
        <f t="shared" si="22"/>
        <v>405.26179997466602</v>
      </c>
      <c r="N191">
        <f t="shared" si="23"/>
        <v>2.0444205328200002</v>
      </c>
      <c r="S191">
        <f t="shared" si="24"/>
        <v>4.907957980033018</v>
      </c>
    </row>
    <row r="192" spans="1:19" x14ac:dyDescent="0.25">
      <c r="A192">
        <v>22.3</v>
      </c>
      <c r="B192">
        <v>1471.0887445859901</v>
      </c>
      <c r="F192">
        <f>(A192-2.05)*9.81</f>
        <v>198.6525</v>
      </c>
      <c r="G192">
        <f t="shared" si="26"/>
        <v>207.51759997459203</v>
      </c>
      <c r="J192" s="1">
        <f t="shared" si="22"/>
        <v>406.17009997459206</v>
      </c>
      <c r="N192">
        <f t="shared" si="23"/>
        <v>2.0485449158400004</v>
      </c>
      <c r="S192">
        <f t="shared" si="24"/>
        <v>5.1317027796282542</v>
      </c>
    </row>
    <row r="193" spans="1:19" x14ac:dyDescent="0.25">
      <c r="A193">
        <v>22.35</v>
      </c>
      <c r="B193">
        <v>1520.4785732484099</v>
      </c>
      <c r="F193">
        <f t="shared" ref="F193:F204" si="29">(A193-2.05)*9.81</f>
        <v>199.14300000000003</v>
      </c>
      <c r="G193">
        <f t="shared" si="26"/>
        <v>207.93539997451802</v>
      </c>
      <c r="J193" s="1">
        <f t="shared" si="22"/>
        <v>407.07839997451805</v>
      </c>
      <c r="N193">
        <f t="shared" si="23"/>
        <v>2.0526692988600002</v>
      </c>
      <c r="S193">
        <f t="shared" si="24"/>
        <v>5.3545484482696857</v>
      </c>
    </row>
    <row r="194" spans="1:19" x14ac:dyDescent="0.25">
      <c r="A194">
        <v>22.4</v>
      </c>
      <c r="B194">
        <v>1569.86840191083</v>
      </c>
      <c r="F194">
        <f t="shared" si="29"/>
        <v>199.6335</v>
      </c>
      <c r="G194">
        <f t="shared" si="26"/>
        <v>208.35319997444404</v>
      </c>
      <c r="J194" s="1">
        <f t="shared" si="22"/>
        <v>407.98669997444404</v>
      </c>
      <c r="N194">
        <f t="shared" si="23"/>
        <v>2.0567936818800003</v>
      </c>
      <c r="S194">
        <f t="shared" si="24"/>
        <v>5.5765003949010561</v>
      </c>
    </row>
    <row r="195" spans="1:19" x14ac:dyDescent="0.25">
      <c r="A195">
        <v>22.45</v>
      </c>
      <c r="B195">
        <v>1553.0952446602</v>
      </c>
      <c r="F195">
        <f t="shared" si="29"/>
        <v>200.124</v>
      </c>
      <c r="G195">
        <f t="shared" si="26"/>
        <v>208.77099997437</v>
      </c>
      <c r="J195" s="1">
        <f t="shared" ref="J195:J258" si="30">G195+F195</f>
        <v>408.89499997436997</v>
      </c>
      <c r="N195">
        <f t="shared" si="23"/>
        <v>2.0609180649000001</v>
      </c>
      <c r="S195">
        <f t="shared" si="24"/>
        <v>5.4806474310431001</v>
      </c>
    </row>
    <row r="196" spans="1:19" x14ac:dyDescent="0.25">
      <c r="A196">
        <v>22.5</v>
      </c>
      <c r="B196">
        <v>1500.3816999999999</v>
      </c>
      <c r="F196">
        <f t="shared" si="29"/>
        <v>200.61449999999999</v>
      </c>
      <c r="G196">
        <f t="shared" si="26"/>
        <v>209.18879997429605</v>
      </c>
      <c r="J196" s="1">
        <f t="shared" si="30"/>
        <v>409.80329997429601</v>
      </c>
      <c r="N196">
        <f t="shared" si="23"/>
        <v>2.0650424479200007</v>
      </c>
      <c r="S196">
        <f t="shared" si="24"/>
        <v>5.2133689765403703</v>
      </c>
    </row>
    <row r="197" spans="1:19" x14ac:dyDescent="0.25">
      <c r="A197">
        <v>22.55</v>
      </c>
      <c r="B197">
        <v>1447.6681553398</v>
      </c>
      <c r="F197">
        <f t="shared" si="29"/>
        <v>201.10500000000002</v>
      </c>
      <c r="G197">
        <f t="shared" si="26"/>
        <v>209.60659997422204</v>
      </c>
      <c r="J197" s="1">
        <f t="shared" si="30"/>
        <v>410.71159997422205</v>
      </c>
      <c r="N197">
        <f t="shared" si="23"/>
        <v>2.0691668309400004</v>
      </c>
      <c r="S197">
        <f t="shared" si="24"/>
        <v>4.9471560317905334</v>
      </c>
    </row>
    <row r="198" spans="1:19" x14ac:dyDescent="0.25">
      <c r="A198">
        <v>22.6</v>
      </c>
      <c r="B198">
        <v>1414.16244908098</v>
      </c>
      <c r="F198">
        <f t="shared" si="29"/>
        <v>201.59550000000002</v>
      </c>
      <c r="G198">
        <f t="shared" si="26"/>
        <v>210.02439997414803</v>
      </c>
      <c r="J198" s="1">
        <f t="shared" si="30"/>
        <v>411.61989997414804</v>
      </c>
      <c r="N198">
        <f t="shared" si="23"/>
        <v>2.0732912139600002</v>
      </c>
      <c r="S198">
        <f t="shared" si="24"/>
        <v>4.773457508890564</v>
      </c>
    </row>
    <row r="199" spans="1:19" x14ac:dyDescent="0.25">
      <c r="A199">
        <v>22.65</v>
      </c>
      <c r="B199">
        <v>1416.0166271519599</v>
      </c>
      <c r="F199">
        <f t="shared" si="29"/>
        <v>202.08599999999998</v>
      </c>
      <c r="G199">
        <f t="shared" si="26"/>
        <v>210.44219997407399</v>
      </c>
      <c r="J199" s="1">
        <f t="shared" si="30"/>
        <v>412.52819997407397</v>
      </c>
      <c r="N199">
        <f t="shared" si="23"/>
        <v>2.0774155969799999</v>
      </c>
      <c r="S199">
        <f t="shared" si="24"/>
        <v>4.7684752739779075</v>
      </c>
    </row>
    <row r="200" spans="1:19" x14ac:dyDescent="0.25">
      <c r="A200">
        <v>22.7</v>
      </c>
      <c r="B200">
        <v>1417.8708052229299</v>
      </c>
      <c r="C200" s="1">
        <v>37</v>
      </c>
      <c r="D200" s="1">
        <v>21</v>
      </c>
      <c r="E200" s="1">
        <v>30.3</v>
      </c>
      <c r="F200">
        <f t="shared" si="29"/>
        <v>202.57650000000001</v>
      </c>
      <c r="G200" s="1">
        <v>210.859999974</v>
      </c>
      <c r="H200" s="2"/>
      <c r="I200" s="1">
        <v>64.405465741878501</v>
      </c>
      <c r="J200" s="1">
        <f t="shared" si="30"/>
        <v>413.43649997400001</v>
      </c>
      <c r="K200">
        <f>C200</f>
        <v>37</v>
      </c>
      <c r="L200">
        <f>C200-D200</f>
        <v>16</v>
      </c>
      <c r="M200">
        <f>(E200-D200)/L200</f>
        <v>0.58125000000000004</v>
      </c>
      <c r="N200">
        <f t="shared" si="23"/>
        <v>2.0815399800000001</v>
      </c>
      <c r="P200">
        <f>I200/G200</f>
        <v>0.30544183699999994</v>
      </c>
      <c r="S200">
        <f t="shared" si="24"/>
        <v>4.7635127827600359</v>
      </c>
    </row>
    <row r="201" spans="1:19" x14ac:dyDescent="0.25">
      <c r="A201">
        <v>22.75</v>
      </c>
      <c r="B201">
        <v>1419.7237216939</v>
      </c>
      <c r="F201">
        <f t="shared" si="29"/>
        <v>203.06700000000001</v>
      </c>
      <c r="G201">
        <f>($G$200*($A$226-A201)+$G$226*(A201-$A$200))/($A$226-$A$200)</f>
        <v>211.27653843624617</v>
      </c>
      <c r="J201" s="1">
        <f t="shared" si="30"/>
        <v>414.34353843624615</v>
      </c>
      <c r="N201">
        <f t="shared" si="23"/>
        <v>2.0856519095384618</v>
      </c>
      <c r="S201">
        <f t="shared" si="24"/>
        <v>4.7585983313572351</v>
      </c>
    </row>
    <row r="202" spans="1:19" x14ac:dyDescent="0.25">
      <c r="A202">
        <v>22.8</v>
      </c>
      <c r="B202">
        <v>1421.5766382648801</v>
      </c>
      <c r="F202">
        <f t="shared" si="29"/>
        <v>203.5575</v>
      </c>
      <c r="G202">
        <f t="shared" ref="G202:G225" si="31">($G$200*($A$226-A202)+$G$226*(A202-$A$200))/($A$226-$A$200)</f>
        <v>211.69307689849231</v>
      </c>
      <c r="J202" s="1">
        <f t="shared" si="30"/>
        <v>415.25057689849234</v>
      </c>
      <c r="N202">
        <f t="shared" si="23"/>
        <v>2.0897638390769231</v>
      </c>
      <c r="S202">
        <f t="shared" si="24"/>
        <v>4.7537032202943754</v>
      </c>
    </row>
    <row r="203" spans="1:19" x14ac:dyDescent="0.25">
      <c r="A203">
        <v>22.85</v>
      </c>
      <c r="B203">
        <v>1423.42955483585</v>
      </c>
      <c r="F203">
        <f t="shared" si="29"/>
        <v>204.04800000000003</v>
      </c>
      <c r="G203">
        <f t="shared" si="31"/>
        <v>212.1096153607385</v>
      </c>
      <c r="J203" s="1">
        <f t="shared" si="30"/>
        <v>416.15761536073853</v>
      </c>
      <c r="N203">
        <f t="shared" ref="N203:N266" si="32">G203/101.3</f>
        <v>2.0938757686153853</v>
      </c>
      <c r="S203">
        <f t="shared" ref="S203:S266" si="33">(B203-J203)/G203</f>
        <v>4.7488273351588832</v>
      </c>
    </row>
    <row r="204" spans="1:19" x14ac:dyDescent="0.25">
      <c r="A204">
        <v>22.9</v>
      </c>
      <c r="B204">
        <v>1425.2824713068201</v>
      </c>
      <c r="F204">
        <f t="shared" si="29"/>
        <v>204.5385</v>
      </c>
      <c r="G204">
        <f t="shared" si="31"/>
        <v>212.52615382298461</v>
      </c>
      <c r="J204" s="1">
        <f t="shared" si="30"/>
        <v>417.06465382298461</v>
      </c>
      <c r="N204">
        <f t="shared" si="32"/>
        <v>2.0979876981538461</v>
      </c>
      <c r="S204">
        <f t="shared" si="33"/>
        <v>4.7439705624353001</v>
      </c>
    </row>
    <row r="205" spans="1:19" x14ac:dyDescent="0.25">
      <c r="A205">
        <v>22.95</v>
      </c>
      <c r="B205">
        <v>1427.1353878778</v>
      </c>
      <c r="F205">
        <f>(A205-2.05)*9.81</f>
        <v>205.029</v>
      </c>
      <c r="G205">
        <f t="shared" si="31"/>
        <v>212.94269228523075</v>
      </c>
      <c r="J205" s="1">
        <f t="shared" si="30"/>
        <v>417.97169228523074</v>
      </c>
      <c r="N205">
        <f t="shared" si="32"/>
        <v>2.1020996276923074</v>
      </c>
      <c r="S205">
        <f t="shared" si="33"/>
        <v>4.7391327909051828</v>
      </c>
    </row>
    <row r="206" spans="1:19" x14ac:dyDescent="0.25">
      <c r="A206">
        <v>23</v>
      </c>
      <c r="B206">
        <v>1428.98830434877</v>
      </c>
      <c r="F206">
        <f t="shared" ref="F206:F221" si="34">(A206-2.05)*9.81</f>
        <v>205.51949999999999</v>
      </c>
      <c r="G206">
        <f t="shared" si="31"/>
        <v>213.35923074747691</v>
      </c>
      <c r="J206" s="1">
        <f t="shared" si="30"/>
        <v>418.87873074747688</v>
      </c>
      <c r="N206">
        <f t="shared" si="32"/>
        <v>2.1062115572307691</v>
      </c>
      <c r="S206">
        <f t="shared" si="33"/>
        <v>4.7343139083437018</v>
      </c>
    </row>
    <row r="207" spans="1:19" x14ac:dyDescent="0.25">
      <c r="A207">
        <v>23.05</v>
      </c>
      <c r="B207">
        <v>1430.84122091975</v>
      </c>
      <c r="F207">
        <f t="shared" si="34"/>
        <v>206.01000000000002</v>
      </c>
      <c r="G207">
        <f t="shared" si="31"/>
        <v>213.77576920972311</v>
      </c>
      <c r="J207" s="1">
        <f t="shared" si="30"/>
        <v>419.78576920972313</v>
      </c>
      <c r="N207">
        <f t="shared" si="32"/>
        <v>2.1103234867692313</v>
      </c>
      <c r="S207">
        <f t="shared" si="33"/>
        <v>4.7295138052720018</v>
      </c>
    </row>
    <row r="208" spans="1:19" x14ac:dyDescent="0.25">
      <c r="A208">
        <v>23.1</v>
      </c>
      <c r="B208">
        <v>1432.6941374907201</v>
      </c>
      <c r="F208">
        <f t="shared" si="34"/>
        <v>206.50050000000002</v>
      </c>
      <c r="G208">
        <f t="shared" si="31"/>
        <v>214.19230767196925</v>
      </c>
      <c r="J208" s="1">
        <f t="shared" si="30"/>
        <v>420.69280767196926</v>
      </c>
      <c r="N208">
        <f t="shared" si="32"/>
        <v>2.1144354163076926</v>
      </c>
      <c r="S208">
        <f t="shared" si="33"/>
        <v>4.72473237166205</v>
      </c>
    </row>
    <row r="209" spans="1:19" x14ac:dyDescent="0.25">
      <c r="A209">
        <v>23.15</v>
      </c>
      <c r="B209">
        <v>1449.0485791097101</v>
      </c>
      <c r="F209">
        <f t="shared" si="34"/>
        <v>206.99099999999999</v>
      </c>
      <c r="G209">
        <f t="shared" si="31"/>
        <v>214.60884613421536</v>
      </c>
      <c r="J209" s="1">
        <f t="shared" si="30"/>
        <v>421.59984613421534</v>
      </c>
      <c r="N209">
        <f t="shared" si="32"/>
        <v>2.1185473458461535</v>
      </c>
      <c r="S209">
        <f t="shared" si="33"/>
        <v>4.7875413874269341</v>
      </c>
    </row>
    <row r="210" spans="1:19" x14ac:dyDescent="0.25">
      <c r="A210">
        <v>23.2</v>
      </c>
      <c r="B210">
        <v>1490.9609574155299</v>
      </c>
      <c r="F210">
        <f t="shared" si="34"/>
        <v>207.48149999999998</v>
      </c>
      <c r="G210">
        <f t="shared" si="31"/>
        <v>215.02538459646155</v>
      </c>
      <c r="J210" s="1">
        <f t="shared" si="30"/>
        <v>422.50688459646153</v>
      </c>
      <c r="N210">
        <f t="shared" si="32"/>
        <v>2.1226592753846156</v>
      </c>
      <c r="S210">
        <f t="shared" si="33"/>
        <v>4.9689671515957885</v>
      </c>
    </row>
    <row r="211" spans="1:19" x14ac:dyDescent="0.25">
      <c r="A211">
        <v>23.25</v>
      </c>
      <c r="B211">
        <v>1532.87333572136</v>
      </c>
      <c r="F211">
        <f t="shared" si="34"/>
        <v>207.97200000000001</v>
      </c>
      <c r="G211">
        <f t="shared" si="31"/>
        <v>215.44192305870772</v>
      </c>
      <c r="J211" s="1">
        <f t="shared" si="30"/>
        <v>423.41392305870772</v>
      </c>
      <c r="N211">
        <f t="shared" si="32"/>
        <v>2.1267712049230774</v>
      </c>
      <c r="S211">
        <f t="shared" si="33"/>
        <v>5.1496913734859566</v>
      </c>
    </row>
    <row r="212" spans="1:19" x14ac:dyDescent="0.25">
      <c r="A212">
        <v>23.3</v>
      </c>
      <c r="B212">
        <v>1574.8269989226401</v>
      </c>
      <c r="F212">
        <f t="shared" si="34"/>
        <v>208.46250000000001</v>
      </c>
      <c r="G212">
        <f t="shared" si="31"/>
        <v>215.85846152095385</v>
      </c>
      <c r="J212" s="1">
        <f t="shared" si="30"/>
        <v>424.32096152095386</v>
      </c>
      <c r="N212">
        <f t="shared" si="32"/>
        <v>2.1308831344615387</v>
      </c>
      <c r="S212">
        <f t="shared" si="33"/>
        <v>5.3299093734623142</v>
      </c>
    </row>
    <row r="213" spans="1:19" x14ac:dyDescent="0.25">
      <c r="A213">
        <v>23.35</v>
      </c>
      <c r="B213">
        <v>1617.3649074626901</v>
      </c>
      <c r="F213">
        <f t="shared" si="34"/>
        <v>208.95300000000003</v>
      </c>
      <c r="G213">
        <f t="shared" si="31"/>
        <v>216.27499998320005</v>
      </c>
      <c r="J213" s="1">
        <f t="shared" si="30"/>
        <v>425.22799998320011</v>
      </c>
      <c r="N213">
        <f t="shared" si="32"/>
        <v>2.1349950640000004</v>
      </c>
      <c r="S213">
        <f t="shared" si="33"/>
        <v>5.512134585930383</v>
      </c>
    </row>
    <row r="214" spans="1:19" x14ac:dyDescent="0.25">
      <c r="A214">
        <v>23.4</v>
      </c>
      <c r="B214">
        <v>1659.90281590273</v>
      </c>
      <c r="F214">
        <f t="shared" si="34"/>
        <v>209.4435</v>
      </c>
      <c r="G214">
        <f t="shared" si="31"/>
        <v>216.69153844544616</v>
      </c>
      <c r="J214" s="1">
        <f t="shared" si="30"/>
        <v>426.13503844544618</v>
      </c>
      <c r="N214">
        <f t="shared" si="32"/>
        <v>2.1391069935384617</v>
      </c>
      <c r="S214">
        <f t="shared" si="33"/>
        <v>5.6936592278054965</v>
      </c>
    </row>
    <row r="215" spans="1:19" x14ac:dyDescent="0.25">
      <c r="A215">
        <v>23.45</v>
      </c>
      <c r="B215">
        <v>1702.44072444277</v>
      </c>
      <c r="F215">
        <f t="shared" si="34"/>
        <v>209.934</v>
      </c>
      <c r="G215">
        <f t="shared" si="31"/>
        <v>217.10807690769229</v>
      </c>
      <c r="J215" s="1">
        <f t="shared" si="30"/>
        <v>427.04207690769226</v>
      </c>
      <c r="N215">
        <f t="shared" si="32"/>
        <v>2.143218923076923</v>
      </c>
      <c r="S215">
        <f t="shared" si="33"/>
        <v>5.8744873323038007</v>
      </c>
    </row>
    <row r="216" spans="1:19" x14ac:dyDescent="0.25">
      <c r="A216">
        <v>23.5</v>
      </c>
      <c r="B216">
        <v>1744.97863298282</v>
      </c>
      <c r="F216">
        <f t="shared" si="34"/>
        <v>210.42449999999999</v>
      </c>
      <c r="G216">
        <f t="shared" si="31"/>
        <v>217.52461536993849</v>
      </c>
      <c r="J216" s="1">
        <f t="shared" si="30"/>
        <v>427.94911536993845</v>
      </c>
      <c r="N216">
        <f t="shared" si="32"/>
        <v>2.1473308526153851</v>
      </c>
      <c r="S216">
        <f t="shared" si="33"/>
        <v>6.0546229003694298</v>
      </c>
    </row>
    <row r="217" spans="1:19" x14ac:dyDescent="0.25">
      <c r="A217">
        <v>23.55</v>
      </c>
      <c r="B217">
        <v>1787.51654142286</v>
      </c>
      <c r="F217">
        <f t="shared" si="34"/>
        <v>210.91500000000002</v>
      </c>
      <c r="G217">
        <f t="shared" si="31"/>
        <v>217.9411538321846</v>
      </c>
      <c r="J217" s="1">
        <f t="shared" si="30"/>
        <v>428.85615383218465</v>
      </c>
      <c r="N217">
        <f t="shared" si="32"/>
        <v>2.151442782153846</v>
      </c>
      <c r="S217">
        <f t="shared" si="33"/>
        <v>6.2340699023592778</v>
      </c>
    </row>
    <row r="218" spans="1:19" x14ac:dyDescent="0.25">
      <c r="A218">
        <v>23.6</v>
      </c>
      <c r="B218">
        <v>1673.7921842999999</v>
      </c>
      <c r="F218">
        <f t="shared" si="34"/>
        <v>211.40550000000002</v>
      </c>
      <c r="G218">
        <f t="shared" si="31"/>
        <v>218.35769229443079</v>
      </c>
      <c r="J218" s="1">
        <f t="shared" si="30"/>
        <v>429.76319229443084</v>
      </c>
      <c r="N218">
        <f t="shared" si="32"/>
        <v>2.1555547116923082</v>
      </c>
      <c r="S218">
        <f t="shared" si="33"/>
        <v>5.6972070868386719</v>
      </c>
    </row>
    <row r="219" spans="1:19" x14ac:dyDescent="0.25">
      <c r="A219">
        <v>23.65</v>
      </c>
      <c r="B219">
        <v>1546.63251052334</v>
      </c>
      <c r="F219">
        <f t="shared" si="34"/>
        <v>211.89599999999999</v>
      </c>
      <c r="G219">
        <f t="shared" si="31"/>
        <v>218.7742307566769</v>
      </c>
      <c r="J219" s="1">
        <f t="shared" si="30"/>
        <v>430.67023075667692</v>
      </c>
      <c r="N219">
        <f t="shared" si="32"/>
        <v>2.159666641230769</v>
      </c>
      <c r="S219">
        <f t="shared" si="33"/>
        <v>5.1009768193761742</v>
      </c>
    </row>
    <row r="220" spans="1:19" x14ac:dyDescent="0.25">
      <c r="A220">
        <v>23.7</v>
      </c>
      <c r="B220">
        <v>1535.23929409989</v>
      </c>
      <c r="F220">
        <f t="shared" si="34"/>
        <v>212.38649999999998</v>
      </c>
      <c r="G220">
        <f t="shared" si="31"/>
        <v>219.19076921892307</v>
      </c>
      <c r="J220" s="1">
        <f t="shared" si="30"/>
        <v>431.57726921892305</v>
      </c>
      <c r="N220">
        <f t="shared" si="32"/>
        <v>2.1637785707692307</v>
      </c>
      <c r="S220">
        <f t="shared" si="33"/>
        <v>5.0351665301135604</v>
      </c>
    </row>
    <row r="221" spans="1:19" x14ac:dyDescent="0.25">
      <c r="A221">
        <v>23.75</v>
      </c>
      <c r="B221">
        <v>1523.8460777764501</v>
      </c>
      <c r="F221">
        <f t="shared" si="34"/>
        <v>212.87700000000001</v>
      </c>
      <c r="G221">
        <f t="shared" si="31"/>
        <v>219.60730768116926</v>
      </c>
      <c r="J221" s="1">
        <f t="shared" si="30"/>
        <v>432.4843076811693</v>
      </c>
      <c r="N221">
        <f t="shared" si="32"/>
        <v>2.1678905003076925</v>
      </c>
      <c r="S221">
        <f t="shared" si="33"/>
        <v>4.9696058916206196</v>
      </c>
    </row>
    <row r="222" spans="1:19" x14ac:dyDescent="0.25">
      <c r="A222">
        <v>23.8</v>
      </c>
      <c r="B222">
        <v>1512.4528613529999</v>
      </c>
      <c r="F222">
        <f>(A222-2.05)*9.81</f>
        <v>213.36750000000001</v>
      </c>
      <c r="G222">
        <f t="shared" si="31"/>
        <v>220.0238461434154</v>
      </c>
      <c r="J222" s="1">
        <f t="shared" si="30"/>
        <v>433.39134614341538</v>
      </c>
      <c r="N222">
        <f t="shared" si="32"/>
        <v>2.1720024298461542</v>
      </c>
      <c r="S222">
        <f t="shared" si="33"/>
        <v>4.9042934851081244</v>
      </c>
    </row>
    <row r="223" spans="1:19" x14ac:dyDescent="0.25">
      <c r="A223">
        <v>23.85</v>
      </c>
      <c r="B223">
        <v>1501.05964502956</v>
      </c>
      <c r="F223">
        <f t="shared" ref="F223:F231" si="35">(A223-2.05)*9.81</f>
        <v>213.858</v>
      </c>
      <c r="G223">
        <f t="shared" si="31"/>
        <v>220.44038460566156</v>
      </c>
      <c r="J223" s="1">
        <f t="shared" si="30"/>
        <v>434.29838460566157</v>
      </c>
      <c r="N223">
        <f t="shared" si="32"/>
        <v>2.1761143593846155</v>
      </c>
      <c r="S223">
        <f t="shared" si="33"/>
        <v>4.8392279043252078</v>
      </c>
    </row>
    <row r="224" spans="1:19" x14ac:dyDescent="0.25">
      <c r="A224">
        <v>23.9</v>
      </c>
      <c r="B224">
        <v>1489.6664287061201</v>
      </c>
      <c r="F224">
        <f t="shared" si="35"/>
        <v>214.3485</v>
      </c>
      <c r="G224">
        <f t="shared" si="31"/>
        <v>220.85692306790767</v>
      </c>
      <c r="J224" s="1">
        <f t="shared" si="30"/>
        <v>435.20542306790765</v>
      </c>
      <c r="N224">
        <f t="shared" si="32"/>
        <v>2.1802262889230768</v>
      </c>
      <c r="S224">
        <f t="shared" si="33"/>
        <v>4.7744077522713368</v>
      </c>
    </row>
    <row r="225" spans="1:19" x14ac:dyDescent="0.25">
      <c r="A225">
        <v>23.95</v>
      </c>
      <c r="B225">
        <v>1530.77942492129</v>
      </c>
      <c r="F225">
        <f t="shared" si="35"/>
        <v>214.839</v>
      </c>
      <c r="G225">
        <f t="shared" si="31"/>
        <v>221.27346153015387</v>
      </c>
      <c r="J225" s="1">
        <f t="shared" si="30"/>
        <v>436.11246153015384</v>
      </c>
      <c r="N225">
        <f t="shared" si="32"/>
        <v>2.1843382184615385</v>
      </c>
      <c r="S225">
        <f t="shared" si="33"/>
        <v>4.9471226952445049</v>
      </c>
    </row>
    <row r="226" spans="1:19" x14ac:dyDescent="0.25">
      <c r="A226">
        <v>24</v>
      </c>
      <c r="B226">
        <v>1573.0735425841699</v>
      </c>
      <c r="C226" s="1">
        <v>38</v>
      </c>
      <c r="D226" s="1">
        <v>21.8</v>
      </c>
      <c r="E226" s="1">
        <v>33.800000004200001</v>
      </c>
      <c r="F226">
        <f t="shared" si="35"/>
        <v>215.3295</v>
      </c>
      <c r="G226" s="1">
        <v>221.6899999924</v>
      </c>
      <c r="H226" s="1">
        <v>221.6899999924</v>
      </c>
      <c r="I226" s="1">
        <v>67.465689978467097</v>
      </c>
      <c r="J226" s="1">
        <f t="shared" si="30"/>
        <v>437.01949999240003</v>
      </c>
      <c r="K226">
        <f>C226</f>
        <v>38</v>
      </c>
      <c r="L226">
        <f>C226-D226</f>
        <v>16.2</v>
      </c>
      <c r="M226">
        <f>(E226-D226)/L226</f>
        <v>0.74074074100000009</v>
      </c>
      <c r="N226">
        <f t="shared" si="32"/>
        <v>2.1884501480000003</v>
      </c>
      <c r="O226">
        <f>H226/101.3</f>
        <v>2.1884501480000003</v>
      </c>
      <c r="P226">
        <f>I226/G226</f>
        <v>0.30432446199999985</v>
      </c>
      <c r="S226">
        <f t="shared" si="33"/>
        <v>5.1245164086369073</v>
      </c>
    </row>
    <row r="227" spans="1:19" x14ac:dyDescent="0.25">
      <c r="A227">
        <v>24.05</v>
      </c>
      <c r="B227">
        <v>1615.3747755470399</v>
      </c>
      <c r="F227">
        <f t="shared" si="35"/>
        <v>215.82000000000002</v>
      </c>
      <c r="G227">
        <f>($G$226*($A$278-A227)+$G$278*(A227-$A$226))/($A$278-$A$226)</f>
        <v>222.11365383872504</v>
      </c>
      <c r="J227" s="1">
        <f t="shared" si="30"/>
        <v>437.93365383872504</v>
      </c>
      <c r="N227">
        <f t="shared" si="32"/>
        <v>2.1926323182500003</v>
      </c>
      <c r="S227">
        <f t="shared" si="33"/>
        <v>5.3010749287985934</v>
      </c>
    </row>
    <row r="228" spans="1:19" x14ac:dyDescent="0.25">
      <c r="A228">
        <v>24.1</v>
      </c>
      <c r="B228">
        <v>1657.67600860992</v>
      </c>
      <c r="F228">
        <f t="shared" si="35"/>
        <v>216.31050000000002</v>
      </c>
      <c r="G228">
        <f t="shared" ref="G228:G277" si="36">($G$226*($A$278-A228)+$G$278*(A228-$A$226))/($A$278-$A$226)</f>
        <v>222.53730768505002</v>
      </c>
      <c r="J228" s="1">
        <f t="shared" si="30"/>
        <v>438.84780768505004</v>
      </c>
      <c r="N228">
        <f t="shared" si="32"/>
        <v>2.1968144885000003</v>
      </c>
      <c r="S228">
        <f t="shared" si="33"/>
        <v>5.4769612053087249</v>
      </c>
    </row>
    <row r="229" spans="1:19" x14ac:dyDescent="0.25">
      <c r="A229">
        <v>24.15</v>
      </c>
      <c r="B229">
        <v>1662.6740063489301</v>
      </c>
      <c r="F229">
        <f t="shared" si="35"/>
        <v>216.80099999999999</v>
      </c>
      <c r="G229">
        <f t="shared" si="36"/>
        <v>222.96096153137501</v>
      </c>
      <c r="J229" s="1">
        <f t="shared" si="30"/>
        <v>439.76196153137499</v>
      </c>
      <c r="N229">
        <f t="shared" si="32"/>
        <v>2.2009966587500003</v>
      </c>
      <c r="S229">
        <f t="shared" si="33"/>
        <v>5.4848706985212177</v>
      </c>
    </row>
    <row r="230" spans="1:19" x14ac:dyDescent="0.25">
      <c r="A230">
        <v>24.2</v>
      </c>
      <c r="B230">
        <v>1640.8803335288701</v>
      </c>
      <c r="F230">
        <f t="shared" si="35"/>
        <v>217.29149999999998</v>
      </c>
      <c r="G230">
        <f t="shared" si="36"/>
        <v>223.38461537769999</v>
      </c>
      <c r="J230" s="1">
        <f t="shared" si="30"/>
        <v>440.67611537769994</v>
      </c>
      <c r="N230">
        <f t="shared" si="32"/>
        <v>2.2051788289999998</v>
      </c>
      <c r="S230">
        <f t="shared" si="33"/>
        <v>5.3728150263251475</v>
      </c>
    </row>
    <row r="231" spans="1:19" x14ac:dyDescent="0.25">
      <c r="A231">
        <v>24.25</v>
      </c>
      <c r="B231">
        <v>1619.08666060881</v>
      </c>
      <c r="F231">
        <f t="shared" si="35"/>
        <v>217.78200000000001</v>
      </c>
      <c r="G231">
        <f t="shared" si="36"/>
        <v>223.808269224025</v>
      </c>
      <c r="J231" s="1">
        <f t="shared" si="30"/>
        <v>441.59026922402501</v>
      </c>
      <c r="N231">
        <f t="shared" si="32"/>
        <v>2.2093609992499998</v>
      </c>
      <c r="S231">
        <f t="shared" si="33"/>
        <v>5.2611835812292904</v>
      </c>
    </row>
    <row r="232" spans="1:19" x14ac:dyDescent="0.25">
      <c r="A232">
        <v>24.3</v>
      </c>
      <c r="B232">
        <v>1597.29298778875</v>
      </c>
      <c r="F232">
        <f>(A232-2.05)*9.81</f>
        <v>218.27250000000001</v>
      </c>
      <c r="G232">
        <f t="shared" si="36"/>
        <v>224.23192307035004</v>
      </c>
      <c r="J232" s="1">
        <f t="shared" si="30"/>
        <v>442.50442307035007</v>
      </c>
      <c r="N232">
        <f t="shared" si="32"/>
        <v>2.2135431695000003</v>
      </c>
      <c r="S232">
        <f t="shared" si="33"/>
        <v>5.1499739595779985</v>
      </c>
    </row>
    <row r="233" spans="1:19" x14ac:dyDescent="0.25">
      <c r="A233">
        <v>24.35</v>
      </c>
      <c r="B233">
        <v>1575.4993148686899</v>
      </c>
      <c r="F233">
        <f t="shared" ref="F233:F251" si="37">(A233-2.05)*9.81</f>
        <v>218.76300000000001</v>
      </c>
      <c r="G233">
        <f t="shared" si="36"/>
        <v>224.65557691667502</v>
      </c>
      <c r="J233" s="1">
        <f t="shared" si="30"/>
        <v>443.41857691667502</v>
      </c>
      <c r="N233">
        <f t="shared" si="32"/>
        <v>2.2177253397500003</v>
      </c>
      <c r="S233">
        <f t="shared" si="33"/>
        <v>5.0391837740663119</v>
      </c>
    </row>
    <row r="234" spans="1:19" x14ac:dyDescent="0.25">
      <c r="A234">
        <v>24.4</v>
      </c>
      <c r="B234">
        <v>1557.88914936233</v>
      </c>
      <c r="F234">
        <f t="shared" si="37"/>
        <v>219.2535</v>
      </c>
      <c r="G234">
        <f t="shared" si="36"/>
        <v>225.079230763</v>
      </c>
      <c r="J234" s="1">
        <f t="shared" si="30"/>
        <v>444.33273076299997</v>
      </c>
      <c r="N234">
        <f t="shared" si="32"/>
        <v>2.2219075099999999</v>
      </c>
      <c r="S234">
        <f t="shared" si="33"/>
        <v>4.9473974778768603</v>
      </c>
    </row>
    <row r="235" spans="1:19" x14ac:dyDescent="0.25">
      <c r="A235">
        <v>24.45</v>
      </c>
      <c r="B235">
        <v>1583.6353322797099</v>
      </c>
      <c r="F235">
        <f t="shared" si="37"/>
        <v>219.744</v>
      </c>
      <c r="G235">
        <f t="shared" si="36"/>
        <v>225.50288460932498</v>
      </c>
      <c r="J235" s="1">
        <f t="shared" si="30"/>
        <v>445.24688460932498</v>
      </c>
      <c r="N235">
        <f t="shared" si="32"/>
        <v>2.2260896802499999</v>
      </c>
      <c r="S235">
        <f t="shared" si="33"/>
        <v>5.0482212218375784</v>
      </c>
    </row>
    <row r="236" spans="1:19" x14ac:dyDescent="0.25">
      <c r="A236">
        <v>24.5</v>
      </c>
      <c r="B236">
        <v>1609.3815152970899</v>
      </c>
      <c r="F236">
        <f t="shared" si="37"/>
        <v>220.2345</v>
      </c>
      <c r="G236">
        <f t="shared" si="36"/>
        <v>225.92653845565002</v>
      </c>
      <c r="J236" s="1">
        <f t="shared" si="30"/>
        <v>446.16103845564999</v>
      </c>
      <c r="N236">
        <f t="shared" si="32"/>
        <v>2.2302718505000003</v>
      </c>
      <c r="S236">
        <f t="shared" si="33"/>
        <v>5.1486668400834334</v>
      </c>
    </row>
    <row r="237" spans="1:19" x14ac:dyDescent="0.25">
      <c r="A237">
        <v>24.55</v>
      </c>
      <c r="B237">
        <v>1635.12769821447</v>
      </c>
      <c r="F237">
        <f t="shared" si="37"/>
        <v>220.72500000000002</v>
      </c>
      <c r="G237">
        <f t="shared" si="36"/>
        <v>226.350192301975</v>
      </c>
      <c r="J237" s="1">
        <f t="shared" si="30"/>
        <v>447.07519230197499</v>
      </c>
      <c r="N237">
        <f t="shared" si="32"/>
        <v>2.2344540207499999</v>
      </c>
      <c r="S237">
        <f t="shared" si="33"/>
        <v>5.2487364549154343</v>
      </c>
    </row>
    <row r="238" spans="1:19" x14ac:dyDescent="0.25">
      <c r="A238">
        <v>24.6</v>
      </c>
      <c r="B238">
        <v>1660.8738811318501</v>
      </c>
      <c r="F238">
        <f t="shared" si="37"/>
        <v>221.21550000000002</v>
      </c>
      <c r="G238">
        <f t="shared" si="36"/>
        <v>226.77384614830001</v>
      </c>
      <c r="J238" s="1">
        <f t="shared" si="30"/>
        <v>447.9893461483</v>
      </c>
      <c r="N238">
        <f t="shared" si="32"/>
        <v>2.2386361910000003</v>
      </c>
      <c r="S238">
        <f t="shared" si="33"/>
        <v>5.3484321740981438</v>
      </c>
    </row>
    <row r="239" spans="1:19" x14ac:dyDescent="0.25">
      <c r="A239">
        <v>24.65</v>
      </c>
      <c r="B239">
        <v>1648.1612353958201</v>
      </c>
      <c r="F239">
        <f t="shared" si="37"/>
        <v>221.70599999999999</v>
      </c>
      <c r="G239">
        <f t="shared" si="36"/>
        <v>227.19749999462502</v>
      </c>
      <c r="J239" s="1">
        <f t="shared" si="30"/>
        <v>448.90349999462501</v>
      </c>
      <c r="N239">
        <f t="shared" si="32"/>
        <v>2.2428183612500003</v>
      </c>
      <c r="S239">
        <f t="shared" si="33"/>
        <v>5.2784812131716539</v>
      </c>
    </row>
    <row r="240" spans="1:19" x14ac:dyDescent="0.25">
      <c r="A240">
        <v>24.7</v>
      </c>
      <c r="B240">
        <v>1618.33107618399</v>
      </c>
      <c r="F240">
        <f t="shared" si="37"/>
        <v>222.19649999999999</v>
      </c>
      <c r="G240">
        <f t="shared" si="36"/>
        <v>227.62115384095</v>
      </c>
      <c r="J240" s="1">
        <f t="shared" si="30"/>
        <v>449.81765384095002</v>
      </c>
      <c r="N240">
        <f t="shared" si="32"/>
        <v>2.2470005314999999</v>
      </c>
      <c r="S240">
        <f t="shared" si="33"/>
        <v>5.1335888717950064</v>
      </c>
    </row>
    <row r="241" spans="1:19" x14ac:dyDescent="0.25">
      <c r="A241">
        <v>24.75</v>
      </c>
      <c r="B241">
        <v>1588.5009170721601</v>
      </c>
      <c r="F241">
        <f t="shared" si="37"/>
        <v>222.68700000000001</v>
      </c>
      <c r="G241">
        <f t="shared" si="36"/>
        <v>228.04480768727501</v>
      </c>
      <c r="J241" s="1">
        <f t="shared" si="30"/>
        <v>450.73180768727502</v>
      </c>
      <c r="N241">
        <f t="shared" si="32"/>
        <v>2.2511827017500003</v>
      </c>
      <c r="S241">
        <f t="shared" si="33"/>
        <v>4.989234882932057</v>
      </c>
    </row>
    <row r="242" spans="1:19" x14ac:dyDescent="0.25">
      <c r="A242">
        <v>24.8</v>
      </c>
      <c r="B242">
        <v>1558.67075786033</v>
      </c>
      <c r="F242">
        <f t="shared" si="37"/>
        <v>223.17750000000001</v>
      </c>
      <c r="G242">
        <f t="shared" si="36"/>
        <v>228.46846153359999</v>
      </c>
      <c r="J242" s="1">
        <f t="shared" si="30"/>
        <v>451.64596153360003</v>
      </c>
      <c r="N242">
        <f t="shared" si="32"/>
        <v>2.2553648719999999</v>
      </c>
      <c r="S242">
        <f t="shared" si="33"/>
        <v>4.8454162508724385</v>
      </c>
    </row>
    <row r="243" spans="1:19" x14ac:dyDescent="0.25">
      <c r="A243">
        <v>24.85</v>
      </c>
      <c r="B243">
        <v>1546.34372316699</v>
      </c>
      <c r="F243">
        <f t="shared" si="37"/>
        <v>223.66800000000001</v>
      </c>
      <c r="G243">
        <f t="shared" si="36"/>
        <v>228.89211537992497</v>
      </c>
      <c r="J243" s="1">
        <f t="shared" si="30"/>
        <v>452.56011537992498</v>
      </c>
      <c r="N243">
        <f t="shared" si="32"/>
        <v>2.2595470422499999</v>
      </c>
      <c r="S243">
        <f t="shared" si="33"/>
        <v>4.7785988869540388</v>
      </c>
    </row>
    <row r="244" spans="1:19" x14ac:dyDescent="0.25">
      <c r="A244">
        <v>24.9</v>
      </c>
      <c r="B244">
        <v>1575.6457410446601</v>
      </c>
      <c r="F244">
        <f t="shared" si="37"/>
        <v>224.1585</v>
      </c>
      <c r="G244">
        <f t="shared" si="36"/>
        <v>229.31576922624996</v>
      </c>
      <c r="J244" s="1">
        <f t="shared" si="30"/>
        <v>453.47426922624993</v>
      </c>
      <c r="N244">
        <f t="shared" si="32"/>
        <v>2.2637292124999995</v>
      </c>
      <c r="S244">
        <f t="shared" si="33"/>
        <v>4.8935643440693415</v>
      </c>
    </row>
    <row r="245" spans="1:19" x14ac:dyDescent="0.25">
      <c r="A245">
        <v>24.95</v>
      </c>
      <c r="B245">
        <v>1604.94775902233</v>
      </c>
      <c r="F245">
        <f t="shared" si="37"/>
        <v>224.649</v>
      </c>
      <c r="G245">
        <f t="shared" si="36"/>
        <v>229.73942307257499</v>
      </c>
      <c r="J245" s="1">
        <f t="shared" si="30"/>
        <v>454.38842307257499</v>
      </c>
      <c r="N245">
        <f t="shared" si="32"/>
        <v>2.2679113827499999</v>
      </c>
      <c r="S245">
        <f t="shared" si="33"/>
        <v>5.0081057946519341</v>
      </c>
    </row>
    <row r="246" spans="1:19" x14ac:dyDescent="0.25">
      <c r="A246">
        <v>25</v>
      </c>
      <c r="B246">
        <v>1634.2497768999999</v>
      </c>
      <c r="F246">
        <f t="shared" si="37"/>
        <v>225.1395</v>
      </c>
      <c r="G246">
        <f t="shared" si="36"/>
        <v>230.16307691890003</v>
      </c>
      <c r="J246" s="1">
        <f t="shared" si="30"/>
        <v>455.30257691890006</v>
      </c>
      <c r="N246">
        <f t="shared" si="32"/>
        <v>2.2720935530000004</v>
      </c>
      <c r="S246">
        <f t="shared" si="33"/>
        <v>5.1222255791988403</v>
      </c>
    </row>
    <row r="247" spans="1:19" x14ac:dyDescent="0.25">
      <c r="A247">
        <v>25.05</v>
      </c>
      <c r="B247">
        <v>1620.9743038664201</v>
      </c>
      <c r="F247">
        <f t="shared" si="37"/>
        <v>225.63000000000002</v>
      </c>
      <c r="G247">
        <f t="shared" si="36"/>
        <v>230.58673076522501</v>
      </c>
      <c r="J247" s="1">
        <f t="shared" si="30"/>
        <v>456.21673076522507</v>
      </c>
      <c r="N247">
        <f t="shared" si="32"/>
        <v>2.2762757232500004</v>
      </c>
      <c r="S247">
        <f t="shared" si="33"/>
        <v>5.0512775355105264</v>
      </c>
    </row>
    <row r="248" spans="1:19" x14ac:dyDescent="0.25">
      <c r="A248">
        <v>25.1</v>
      </c>
      <c r="B248">
        <v>1607.69883073285</v>
      </c>
      <c r="F248">
        <f t="shared" si="37"/>
        <v>226.12050000000002</v>
      </c>
      <c r="G248">
        <f t="shared" si="36"/>
        <v>231.01038461154999</v>
      </c>
      <c r="J248" s="1">
        <f t="shared" si="30"/>
        <v>457.13088461155002</v>
      </c>
      <c r="N248">
        <f t="shared" si="32"/>
        <v>2.2804578934999999</v>
      </c>
      <c r="S248">
        <f t="shared" si="33"/>
        <v>4.9805897170207736</v>
      </c>
    </row>
    <row r="249" spans="1:19" x14ac:dyDescent="0.25">
      <c r="A249">
        <v>25.15</v>
      </c>
      <c r="B249">
        <v>1594.4233576992699</v>
      </c>
      <c r="F249">
        <f t="shared" si="37"/>
        <v>226.61099999999999</v>
      </c>
      <c r="G249">
        <f t="shared" si="36"/>
        <v>231.43403845787498</v>
      </c>
      <c r="J249" s="1">
        <f t="shared" si="30"/>
        <v>458.04503845787497</v>
      </c>
      <c r="N249">
        <f t="shared" si="32"/>
        <v>2.2846400637499999</v>
      </c>
      <c r="S249">
        <f t="shared" si="33"/>
        <v>4.9101606955203154</v>
      </c>
    </row>
    <row r="250" spans="1:19" x14ac:dyDescent="0.25">
      <c r="A250">
        <v>25.2</v>
      </c>
      <c r="B250">
        <v>1581.1478845657</v>
      </c>
      <c r="F250">
        <f t="shared" si="37"/>
        <v>227.10149999999999</v>
      </c>
      <c r="G250">
        <f t="shared" si="36"/>
        <v>231.85769230419999</v>
      </c>
      <c r="J250" s="1">
        <f t="shared" si="30"/>
        <v>458.95919230419997</v>
      </c>
      <c r="N250">
        <f t="shared" si="32"/>
        <v>2.288822234</v>
      </c>
      <c r="S250">
        <f t="shared" si="33"/>
        <v>4.8399890515134398</v>
      </c>
    </row>
    <row r="251" spans="1:19" x14ac:dyDescent="0.25">
      <c r="A251">
        <v>25.25</v>
      </c>
      <c r="B251">
        <v>1581.6804707374599</v>
      </c>
      <c r="F251">
        <f t="shared" si="37"/>
        <v>227.59200000000001</v>
      </c>
      <c r="G251">
        <f t="shared" si="36"/>
        <v>232.28134615052502</v>
      </c>
      <c r="J251" s="1">
        <f t="shared" si="30"/>
        <v>459.87334615052504</v>
      </c>
      <c r="N251">
        <f t="shared" si="32"/>
        <v>2.2930044042500004</v>
      </c>
      <c r="S251">
        <f t="shared" si="33"/>
        <v>4.8295187847756464</v>
      </c>
    </row>
    <row r="252" spans="1:19" x14ac:dyDescent="0.25">
      <c r="A252">
        <v>25.3</v>
      </c>
      <c r="B252">
        <v>1591.2660227782801</v>
      </c>
      <c r="F252">
        <f>(A252-2.05)*9.81</f>
        <v>228.08250000000001</v>
      </c>
      <c r="G252">
        <f t="shared" si="36"/>
        <v>232.70499999685001</v>
      </c>
      <c r="J252" s="1">
        <f t="shared" si="30"/>
        <v>460.78749999684999</v>
      </c>
      <c r="N252">
        <f t="shared" si="32"/>
        <v>2.2971865745</v>
      </c>
      <c r="S252">
        <f t="shared" si="33"/>
        <v>4.8579898274499156</v>
      </c>
    </row>
    <row r="253" spans="1:19" x14ac:dyDescent="0.25">
      <c r="A253">
        <v>25.35</v>
      </c>
      <c r="B253">
        <v>1600.8515748191101</v>
      </c>
      <c r="F253">
        <f t="shared" ref="F253:F278" si="38">(A253-2.05)*9.81</f>
        <v>228.57300000000001</v>
      </c>
      <c r="G253">
        <f t="shared" si="36"/>
        <v>233.12865384317499</v>
      </c>
      <c r="J253" s="1">
        <f t="shared" si="30"/>
        <v>461.701653843175</v>
      </c>
      <c r="N253">
        <f t="shared" si="32"/>
        <v>2.30136874475</v>
      </c>
      <c r="S253">
        <f t="shared" si="33"/>
        <v>4.8863573919241947</v>
      </c>
    </row>
    <row r="254" spans="1:19" x14ac:dyDescent="0.25">
      <c r="A254">
        <v>25.4</v>
      </c>
      <c r="B254">
        <v>1610.4371269599301</v>
      </c>
      <c r="F254">
        <f t="shared" si="38"/>
        <v>229.0635</v>
      </c>
      <c r="G254">
        <f t="shared" si="36"/>
        <v>233.55230768949997</v>
      </c>
      <c r="J254" s="1">
        <f t="shared" si="30"/>
        <v>462.6158076895</v>
      </c>
      <c r="N254">
        <f t="shared" si="32"/>
        <v>2.305550915</v>
      </c>
      <c r="S254">
        <f t="shared" si="33"/>
        <v>4.9146220417415893</v>
      </c>
    </row>
    <row r="255" spans="1:19" x14ac:dyDescent="0.25">
      <c r="A255">
        <v>25.45</v>
      </c>
      <c r="B255">
        <v>1620.02267900076</v>
      </c>
      <c r="F255">
        <f t="shared" si="38"/>
        <v>229.554</v>
      </c>
      <c r="G255">
        <f t="shared" si="36"/>
        <v>233.97596153582495</v>
      </c>
      <c r="J255" s="1">
        <f t="shared" si="30"/>
        <v>463.52996153582495</v>
      </c>
      <c r="N255">
        <f t="shared" si="32"/>
        <v>2.3097330852499995</v>
      </c>
      <c r="S255">
        <f t="shared" si="33"/>
        <v>4.9427843350816199</v>
      </c>
    </row>
    <row r="256" spans="1:19" x14ac:dyDescent="0.25">
      <c r="A256">
        <v>25.5</v>
      </c>
      <c r="B256">
        <v>1629.6082311415801</v>
      </c>
      <c r="F256">
        <f t="shared" si="38"/>
        <v>230.0445</v>
      </c>
      <c r="G256">
        <f t="shared" si="36"/>
        <v>234.39961538214999</v>
      </c>
      <c r="J256" s="1">
        <f t="shared" si="30"/>
        <v>464.44411538215002</v>
      </c>
      <c r="N256">
        <f t="shared" si="32"/>
        <v>2.3139152555</v>
      </c>
      <c r="S256">
        <f t="shared" si="33"/>
        <v>4.9708448277947115</v>
      </c>
    </row>
    <row r="257" spans="1:19" x14ac:dyDescent="0.25">
      <c r="A257">
        <v>25.55</v>
      </c>
      <c r="B257">
        <v>1639.2963264815501</v>
      </c>
      <c r="F257">
        <f t="shared" si="38"/>
        <v>230.53500000000003</v>
      </c>
      <c r="G257">
        <f>($G$226*($A$278-A257)+$G$278*(A257-$A$226))/($A$278-$A$226)</f>
        <v>234.82326922847503</v>
      </c>
      <c r="J257" s="1">
        <f t="shared" si="30"/>
        <v>465.35826922847502</v>
      </c>
      <c r="N257">
        <f t="shared" si="32"/>
        <v>2.3180974257500004</v>
      </c>
      <c r="S257">
        <f t="shared" si="33"/>
        <v>4.9992407528866876</v>
      </c>
    </row>
    <row r="258" spans="1:19" x14ac:dyDescent="0.25">
      <c r="A258">
        <v>25.6</v>
      </c>
      <c r="B258">
        <v>1659.1362085368901</v>
      </c>
      <c r="F258">
        <f t="shared" si="38"/>
        <v>231.02550000000002</v>
      </c>
      <c r="G258">
        <f t="shared" si="36"/>
        <v>235.24692307480001</v>
      </c>
      <c r="J258" s="1">
        <f t="shared" si="30"/>
        <v>466.27242307480003</v>
      </c>
      <c r="N258">
        <f t="shared" si="32"/>
        <v>2.322279596</v>
      </c>
      <c r="S258">
        <f t="shared" si="33"/>
        <v>5.0706881512869035</v>
      </c>
    </row>
    <row r="259" spans="1:19" x14ac:dyDescent="0.25">
      <c r="A259">
        <v>25.65</v>
      </c>
      <c r="B259">
        <v>1678.97609049223</v>
      </c>
      <c r="F259">
        <f t="shared" si="38"/>
        <v>231.51599999999999</v>
      </c>
      <c r="G259">
        <f t="shared" si="36"/>
        <v>235.67057692112499</v>
      </c>
      <c r="J259" s="1">
        <f t="shared" ref="J259:J278" si="39">G259+F259</f>
        <v>467.18657692112498</v>
      </c>
      <c r="N259">
        <f t="shared" si="32"/>
        <v>2.32646176625</v>
      </c>
      <c r="S259">
        <f t="shared" si="33"/>
        <v>5.1418786740470823</v>
      </c>
    </row>
    <row r="260" spans="1:19" x14ac:dyDescent="0.25">
      <c r="A260">
        <v>25.7</v>
      </c>
      <c r="B260">
        <v>1698.81597254757</v>
      </c>
      <c r="F260">
        <f t="shared" si="38"/>
        <v>232.00649999999999</v>
      </c>
      <c r="G260">
        <f t="shared" si="36"/>
        <v>236.09423076745</v>
      </c>
      <c r="J260" s="1">
        <f t="shared" si="39"/>
        <v>468.10073076744999</v>
      </c>
      <c r="N260">
        <f t="shared" si="32"/>
        <v>2.3306439365</v>
      </c>
      <c r="S260">
        <f t="shared" si="33"/>
        <v>5.2128137048480436</v>
      </c>
    </row>
    <row r="261" spans="1:19" x14ac:dyDescent="0.25">
      <c r="A261">
        <v>25.75</v>
      </c>
      <c r="B261">
        <v>1711.3342629439501</v>
      </c>
      <c r="F261">
        <f t="shared" si="38"/>
        <v>232.49700000000001</v>
      </c>
      <c r="G261">
        <f t="shared" si="36"/>
        <v>236.51788461377498</v>
      </c>
      <c r="J261" s="1">
        <f t="shared" si="39"/>
        <v>469.014884613775</v>
      </c>
      <c r="N261">
        <f t="shared" si="32"/>
        <v>2.33482610675</v>
      </c>
      <c r="S261">
        <f t="shared" si="33"/>
        <v>5.252538852860269</v>
      </c>
    </row>
    <row r="262" spans="1:19" x14ac:dyDescent="0.25">
      <c r="A262">
        <v>25.8</v>
      </c>
      <c r="B262">
        <v>1720.9198150847701</v>
      </c>
      <c r="F262">
        <f t="shared" si="38"/>
        <v>232.98750000000001</v>
      </c>
      <c r="G262">
        <f t="shared" si="36"/>
        <v>236.94153846010002</v>
      </c>
      <c r="J262" s="1">
        <f t="shared" si="39"/>
        <v>469.92903846010006</v>
      </c>
      <c r="N262">
        <f t="shared" si="32"/>
        <v>2.3390082770000005</v>
      </c>
      <c r="S262">
        <f t="shared" si="33"/>
        <v>5.2797444667361768</v>
      </c>
    </row>
    <row r="263" spans="1:19" x14ac:dyDescent="0.25">
      <c r="A263">
        <v>25.85</v>
      </c>
      <c r="B263">
        <v>1730.5053671256001</v>
      </c>
      <c r="F263">
        <f t="shared" si="38"/>
        <v>233.47800000000001</v>
      </c>
      <c r="G263">
        <f t="shared" si="36"/>
        <v>237.365192306425</v>
      </c>
      <c r="J263" s="1">
        <f t="shared" si="39"/>
        <v>470.84319230642501</v>
      </c>
      <c r="N263">
        <f t="shared" si="32"/>
        <v>2.34319044725</v>
      </c>
      <c r="S263">
        <f t="shared" si="33"/>
        <v>5.3068529660112196</v>
      </c>
    </row>
    <row r="264" spans="1:19" x14ac:dyDescent="0.25">
      <c r="A264">
        <v>25.9</v>
      </c>
      <c r="B264">
        <v>1740.0909192664201</v>
      </c>
      <c r="F264">
        <f t="shared" si="38"/>
        <v>233.96849999999998</v>
      </c>
      <c r="G264">
        <f t="shared" si="36"/>
        <v>237.78884615274998</v>
      </c>
      <c r="J264" s="1">
        <f t="shared" si="39"/>
        <v>471.75734615274996</v>
      </c>
      <c r="N264">
        <f t="shared" si="32"/>
        <v>2.3473726175</v>
      </c>
      <c r="S264">
        <f t="shared" si="33"/>
        <v>5.3338648705958329</v>
      </c>
    </row>
    <row r="265" spans="1:19" x14ac:dyDescent="0.25">
      <c r="A265">
        <v>25.95</v>
      </c>
      <c r="B265">
        <v>1749.67647130725</v>
      </c>
      <c r="F265">
        <f t="shared" si="38"/>
        <v>234.459</v>
      </c>
      <c r="G265">
        <f t="shared" si="36"/>
        <v>238.21249999907496</v>
      </c>
      <c r="J265" s="1">
        <f t="shared" si="39"/>
        <v>472.67149999907497</v>
      </c>
      <c r="N265">
        <f t="shared" si="32"/>
        <v>2.3515547877499996</v>
      </c>
      <c r="S265">
        <f t="shared" si="33"/>
        <v>5.3607806950228643</v>
      </c>
    </row>
    <row r="266" spans="1:19" x14ac:dyDescent="0.25">
      <c r="A266">
        <v>26</v>
      </c>
      <c r="B266">
        <v>1759.26202334807</v>
      </c>
      <c r="F266">
        <f t="shared" si="38"/>
        <v>234.9495</v>
      </c>
      <c r="G266">
        <f t="shared" si="36"/>
        <v>238.6361538454</v>
      </c>
      <c r="J266" s="1">
        <f t="shared" si="39"/>
        <v>473.58565384539997</v>
      </c>
      <c r="N266">
        <f t="shared" si="32"/>
        <v>2.355736958</v>
      </c>
      <c r="S266">
        <f t="shared" si="33"/>
        <v>5.3876009514283121</v>
      </c>
    </row>
    <row r="267" spans="1:19" x14ac:dyDescent="0.25">
      <c r="A267">
        <v>26.05</v>
      </c>
      <c r="B267">
        <v>1790.7067941077701</v>
      </c>
      <c r="F267">
        <f t="shared" si="38"/>
        <v>235.44</v>
      </c>
      <c r="G267">
        <f t="shared" si="36"/>
        <v>239.05980769172501</v>
      </c>
      <c r="J267" s="1">
        <f t="shared" si="39"/>
        <v>474.49980769172498</v>
      </c>
      <c r="N267">
        <f t="shared" ref="N267:N278" si="40">G267/101.3</f>
        <v>2.3599191282500001</v>
      </c>
      <c r="S267">
        <f t="shared" ref="S267:S278" si="41">(B267-J267)/G267</f>
        <v>5.5057644324441792</v>
      </c>
    </row>
    <row r="268" spans="1:19" x14ac:dyDescent="0.25">
      <c r="A268">
        <v>26.1</v>
      </c>
      <c r="B268">
        <v>1982.4525013058301</v>
      </c>
      <c r="F268">
        <f t="shared" si="38"/>
        <v>235.93050000000002</v>
      </c>
      <c r="G268">
        <f t="shared" si="36"/>
        <v>239.48346153804999</v>
      </c>
      <c r="J268" s="1">
        <f t="shared" si="39"/>
        <v>475.41396153804999</v>
      </c>
      <c r="N268">
        <f t="shared" si="40"/>
        <v>2.3641012985000001</v>
      </c>
      <c r="S268">
        <f t="shared" si="41"/>
        <v>6.2928710404009944</v>
      </c>
    </row>
    <row r="269" spans="1:19" x14ac:dyDescent="0.25">
      <c r="A269">
        <v>26.15</v>
      </c>
      <c r="B269">
        <v>2174.1982086038802</v>
      </c>
      <c r="F269">
        <f t="shared" si="38"/>
        <v>236.42099999999999</v>
      </c>
      <c r="G269">
        <f t="shared" si="36"/>
        <v>239.907115384375</v>
      </c>
      <c r="J269" s="1">
        <f t="shared" si="39"/>
        <v>476.328115384375</v>
      </c>
      <c r="N269">
        <f t="shared" si="40"/>
        <v>2.3682834687500001</v>
      </c>
      <c r="S269">
        <f t="shared" si="41"/>
        <v>7.0771977333778002</v>
      </c>
    </row>
    <row r="270" spans="1:19" x14ac:dyDescent="0.25">
      <c r="A270">
        <v>26.2</v>
      </c>
      <c r="B270">
        <v>2365.94391580194</v>
      </c>
      <c r="F270">
        <f t="shared" si="38"/>
        <v>236.91149999999999</v>
      </c>
      <c r="G270">
        <f t="shared" si="36"/>
        <v>240.33076923070001</v>
      </c>
      <c r="J270" s="1">
        <f t="shared" si="39"/>
        <v>477.2422692307</v>
      </c>
      <c r="N270">
        <f t="shared" si="40"/>
        <v>2.3724656390000001</v>
      </c>
      <c r="S270">
        <f t="shared" si="41"/>
        <v>7.8587592118020648</v>
      </c>
    </row>
    <row r="271" spans="1:19" x14ac:dyDescent="0.25">
      <c r="A271">
        <v>26.25</v>
      </c>
      <c r="B271">
        <v>2297.1617588597801</v>
      </c>
      <c r="F271">
        <f t="shared" si="38"/>
        <v>237.40200000000002</v>
      </c>
      <c r="G271">
        <f t="shared" si="36"/>
        <v>240.754423077025</v>
      </c>
      <c r="J271" s="1">
        <f t="shared" si="39"/>
        <v>478.15642307702501</v>
      </c>
      <c r="N271">
        <f t="shared" si="40"/>
        <v>2.3766478092500001</v>
      </c>
      <c r="S271">
        <f t="shared" si="41"/>
        <v>7.5554389096344758</v>
      </c>
    </row>
    <row r="272" spans="1:19" x14ac:dyDescent="0.25">
      <c r="A272">
        <v>26.3</v>
      </c>
      <c r="B272">
        <v>2172.7328735332999</v>
      </c>
      <c r="F272">
        <f t="shared" si="38"/>
        <v>237.89250000000001</v>
      </c>
      <c r="G272">
        <f t="shared" si="36"/>
        <v>241.17807692335003</v>
      </c>
      <c r="J272" s="1">
        <f t="shared" si="39"/>
        <v>479.07057692335002</v>
      </c>
      <c r="N272">
        <f t="shared" si="40"/>
        <v>2.3808299795000005</v>
      </c>
      <c r="S272">
        <f t="shared" si="41"/>
        <v>7.0224554329961792</v>
      </c>
    </row>
    <row r="273" spans="1:19" x14ac:dyDescent="0.25">
      <c r="A273">
        <v>26.35</v>
      </c>
      <c r="B273">
        <v>2048.30398830682</v>
      </c>
      <c r="F273">
        <f t="shared" si="38"/>
        <v>238.38300000000001</v>
      </c>
      <c r="G273">
        <f t="shared" si="36"/>
        <v>241.60173076967502</v>
      </c>
      <c r="J273" s="1">
        <f t="shared" si="39"/>
        <v>479.98473076967502</v>
      </c>
      <c r="N273">
        <f t="shared" si="40"/>
        <v>2.3850121497500001</v>
      </c>
      <c r="S273">
        <f t="shared" si="41"/>
        <v>6.4913411528175802</v>
      </c>
    </row>
    <row r="274" spans="1:19" x14ac:dyDescent="0.25">
      <c r="A274">
        <v>26.4</v>
      </c>
      <c r="B274">
        <v>1923.87510298035</v>
      </c>
      <c r="F274">
        <f t="shared" si="38"/>
        <v>238.87349999999998</v>
      </c>
      <c r="G274">
        <f t="shared" si="36"/>
        <v>242.025384616</v>
      </c>
      <c r="J274" s="1">
        <f t="shared" si="39"/>
        <v>480.89888461599998</v>
      </c>
      <c r="N274">
        <f t="shared" si="40"/>
        <v>2.3891943200000001</v>
      </c>
      <c r="S274">
        <f t="shared" si="41"/>
        <v>5.9620862524556717</v>
      </c>
    </row>
    <row r="275" spans="1:19" x14ac:dyDescent="0.25">
      <c r="A275">
        <v>26.45</v>
      </c>
      <c r="B275">
        <v>1843.6429647135899</v>
      </c>
      <c r="F275">
        <f t="shared" si="38"/>
        <v>239.364</v>
      </c>
      <c r="G275">
        <f t="shared" si="36"/>
        <v>242.44903846232498</v>
      </c>
      <c r="J275" s="1">
        <f t="shared" si="39"/>
        <v>481.81303846232498</v>
      </c>
      <c r="N275">
        <f t="shared" si="40"/>
        <v>2.3933764902499997</v>
      </c>
      <c r="S275">
        <f t="shared" si="41"/>
        <v>5.61697392115203</v>
      </c>
    </row>
    <row r="276" spans="1:19" x14ac:dyDescent="0.25">
      <c r="A276">
        <v>26.5</v>
      </c>
      <c r="B276">
        <v>1822.47750686311</v>
      </c>
      <c r="F276">
        <f t="shared" si="38"/>
        <v>239.8545</v>
      </c>
      <c r="G276">
        <f t="shared" si="36"/>
        <v>242.87269230865002</v>
      </c>
      <c r="J276" s="1">
        <f t="shared" si="39"/>
        <v>482.72719230865005</v>
      </c>
      <c r="N276">
        <f t="shared" si="40"/>
        <v>2.3975586605000001</v>
      </c>
      <c r="S276">
        <f t="shared" si="41"/>
        <v>5.5162657514903506</v>
      </c>
    </row>
    <row r="277" spans="1:19" x14ac:dyDescent="0.25">
      <c r="A277">
        <v>26.55</v>
      </c>
      <c r="B277">
        <v>1801.3120491126199</v>
      </c>
      <c r="F277">
        <f t="shared" si="38"/>
        <v>240.345</v>
      </c>
      <c r="G277">
        <f t="shared" si="36"/>
        <v>243.296346154975</v>
      </c>
      <c r="J277" s="1">
        <f t="shared" si="39"/>
        <v>483.641346154975</v>
      </c>
      <c r="N277">
        <f t="shared" si="40"/>
        <v>2.4017408307500001</v>
      </c>
      <c r="S277">
        <f t="shared" si="41"/>
        <v>5.4159083100997929</v>
      </c>
    </row>
    <row r="278" spans="1:19" x14ac:dyDescent="0.25">
      <c r="A278">
        <v>26.6</v>
      </c>
      <c r="B278">
        <v>1779.9393660600499</v>
      </c>
      <c r="C278" s="1">
        <v>34.78</v>
      </c>
      <c r="D278" s="1">
        <v>21</v>
      </c>
      <c r="E278" s="1">
        <v>31.999999994100001</v>
      </c>
      <c r="F278">
        <f t="shared" si="38"/>
        <v>240.83550000000002</v>
      </c>
      <c r="G278" s="1">
        <v>243.72000000130001</v>
      </c>
      <c r="H278" s="2"/>
      <c r="I278" s="1">
        <v>82.074240074597796</v>
      </c>
      <c r="J278" s="1">
        <f t="shared" si="39"/>
        <v>484.55550000130006</v>
      </c>
      <c r="K278">
        <f>C278</f>
        <v>34.78</v>
      </c>
      <c r="L278">
        <f>C278-D278</f>
        <v>13.780000000000001</v>
      </c>
      <c r="M278">
        <f>(E278-D278)/L278</f>
        <v>0.79825834500000004</v>
      </c>
      <c r="N278">
        <f t="shared" si="40"/>
        <v>2.4059230010000001</v>
      </c>
      <c r="P278">
        <f>I278/G278</f>
        <v>0.33675627800000002</v>
      </c>
      <c r="S278">
        <f t="shared" si="41"/>
        <v>5.3150495078444129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2018-10-04T12:51:48Z</dcterms:modified>
</cp:coreProperties>
</file>